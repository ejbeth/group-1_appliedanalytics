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9340b85e0ae9310/CBS School/Lectures 3° Semester 2025/Applied Business Programming ^0 Analytics/Repos/group-1_appliedanalytics/Amefa Order Portal/"/>
    </mc:Choice>
  </mc:AlternateContent>
  <xr:revisionPtr revIDLastSave="3" documentId="11_E0B2482381192AD6942CE393EA96FA06923CCA72" xr6:coauthVersionLast="47" xr6:coauthVersionMax="47" xr10:uidLastSave="{815BC487-FE09-5B89-9D66-D5D5E5B1C96C}"/>
  <bookViews>
    <workbookView xWindow="-120" yWindow="-120" windowWidth="20730" windowHeight="11040" activeTab="4" xr2:uid="{00000000-000D-0000-FFFF-FFFF00000000}"/>
  </bookViews>
  <sheets>
    <sheet name="README" sheetId="1" r:id="rId1"/>
    <sheet name="Customers" sheetId="2" r:id="rId2"/>
    <sheet name="Products" sheetId="3" r:id="rId3"/>
    <sheet name="Orders" sheetId="4" r:id="rId4"/>
    <sheet name="OrderLines" sheetId="5" r:id="rId5"/>
    <sheet name="Support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7" l="1"/>
  <c r="B8" i="7"/>
  <c r="E7" i="7"/>
  <c r="B7" i="7"/>
  <c r="E6" i="7"/>
  <c r="B6" i="7"/>
  <c r="E5" i="7"/>
  <c r="B5" i="7"/>
</calcChain>
</file>

<file path=xl/sharedStrings.xml><?xml version="1.0" encoding="utf-8"?>
<sst xmlns="http://schemas.openxmlformats.org/spreadsheetml/2006/main" count="3853" uniqueCount="899">
  <si>
    <t>LineID</t>
  </si>
  <si>
    <t>OrderID</t>
  </si>
  <si>
    <t>ProductID</t>
  </si>
  <si>
    <t>Qty</t>
  </si>
  <si>
    <t>UnitPrice</t>
  </si>
  <si>
    <t>LineTotal</t>
  </si>
  <si>
    <t>A-10300</t>
  </si>
  <si>
    <t>PRD-1005</t>
  </si>
  <si>
    <t>PRD-1004</t>
  </si>
  <si>
    <t>PRD-1001</t>
  </si>
  <si>
    <t>PRD-1002</t>
  </si>
  <si>
    <t>A-10301</t>
  </si>
  <si>
    <t>A-10302</t>
  </si>
  <si>
    <t>PRD-1003</t>
  </si>
  <si>
    <t>A-10303</t>
  </si>
  <si>
    <t>A-10304</t>
  </si>
  <si>
    <t>A-10305</t>
  </si>
  <si>
    <t>A-10306</t>
  </si>
  <si>
    <t>A-10307</t>
  </si>
  <si>
    <t>A-10308</t>
  </si>
  <si>
    <t>A-10309</t>
  </si>
  <si>
    <t>A-10310</t>
  </si>
  <si>
    <t>A-10311</t>
  </si>
  <si>
    <t>A-10312</t>
  </si>
  <si>
    <t>A-10313</t>
  </si>
  <si>
    <t>A-10314</t>
  </si>
  <si>
    <t>A-10315</t>
  </si>
  <si>
    <t>A-10316</t>
  </si>
  <si>
    <t>A-10317</t>
  </si>
  <si>
    <t>A-10318</t>
  </si>
  <si>
    <t>A-10319</t>
  </si>
  <si>
    <t>A-10320</t>
  </si>
  <si>
    <t>A-10321</t>
  </si>
  <si>
    <t>A-10322</t>
  </si>
  <si>
    <t>A-10323</t>
  </si>
  <si>
    <t>A-10324</t>
  </si>
  <si>
    <t>A-10325</t>
  </si>
  <si>
    <t>A-10326</t>
  </si>
  <si>
    <t>A-10327</t>
  </si>
  <si>
    <t>A-10328</t>
  </si>
  <si>
    <t>A-10329</t>
  </si>
  <si>
    <t>A-10330</t>
  </si>
  <si>
    <t>A-10331</t>
  </si>
  <si>
    <t>A-10332</t>
  </si>
  <si>
    <t>A-10333</t>
  </si>
  <si>
    <t>A-10334</t>
  </si>
  <si>
    <t>A-10335</t>
  </si>
  <si>
    <t>A-10336</t>
  </si>
  <si>
    <t>A-10337</t>
  </si>
  <si>
    <t>A-10338</t>
  </si>
  <si>
    <t>A-10339</t>
  </si>
  <si>
    <t>A-10340</t>
  </si>
  <si>
    <t>A-10341</t>
  </si>
  <si>
    <t>A-10342</t>
  </si>
  <si>
    <t>A-10343</t>
  </si>
  <si>
    <t>A-10344</t>
  </si>
  <si>
    <t>A-10345</t>
  </si>
  <si>
    <t>A-10346</t>
  </si>
  <si>
    <t>A-10347</t>
  </si>
  <si>
    <t>A-10348</t>
  </si>
  <si>
    <t>A-10349</t>
  </si>
  <si>
    <t>A-10350</t>
  </si>
  <si>
    <t>A-10351</t>
  </si>
  <si>
    <t>A-10352</t>
  </si>
  <si>
    <t>A-10353</t>
  </si>
  <si>
    <t>A-10354</t>
  </si>
  <si>
    <t>A-10355</t>
  </si>
  <si>
    <t>A-10356</t>
  </si>
  <si>
    <t>A-10357</t>
  </si>
  <si>
    <t>A-10358</t>
  </si>
  <si>
    <t>A-10359</t>
  </si>
  <si>
    <t>A-10360</t>
  </si>
  <si>
    <t>A-10361</t>
  </si>
  <si>
    <t>A-10362</t>
  </si>
  <si>
    <t>A-10363</t>
  </si>
  <si>
    <t>A-10364</t>
  </si>
  <si>
    <t>A-10365</t>
  </si>
  <si>
    <t>A-10366</t>
  </si>
  <si>
    <t>A-10367</t>
  </si>
  <si>
    <t>A-10368</t>
  </si>
  <si>
    <t>A-10369</t>
  </si>
  <si>
    <t>A-10370</t>
  </si>
  <si>
    <t>A-10371</t>
  </si>
  <si>
    <t>A-10372</t>
  </si>
  <si>
    <t>A-10373</t>
  </si>
  <si>
    <t>A-10374</t>
  </si>
  <si>
    <t>A-10375</t>
  </si>
  <si>
    <t>A-10376</t>
  </si>
  <si>
    <t>A-10377</t>
  </si>
  <si>
    <t>A-10378</t>
  </si>
  <si>
    <t>A-10379</t>
  </si>
  <si>
    <t>A-10380</t>
  </si>
  <si>
    <t>A-10381</t>
  </si>
  <si>
    <t>A-10382</t>
  </si>
  <si>
    <t>A-10383</t>
  </si>
  <si>
    <t>A-10384</t>
  </si>
  <si>
    <t>A-10385</t>
  </si>
  <si>
    <t>A-10386</t>
  </si>
  <si>
    <t>A-10387</t>
  </si>
  <si>
    <t>A-10388</t>
  </si>
  <si>
    <t>A-10389</t>
  </si>
  <si>
    <t>A-10390</t>
  </si>
  <si>
    <t>A-10391</t>
  </si>
  <si>
    <t>A-10392</t>
  </si>
  <si>
    <t>A-10393</t>
  </si>
  <si>
    <t>A-10394</t>
  </si>
  <si>
    <t>A-10395</t>
  </si>
  <si>
    <t>A-10396</t>
  </si>
  <si>
    <t>A-10397</t>
  </si>
  <si>
    <t>A-10398</t>
  </si>
  <si>
    <t>A-10399</t>
  </si>
  <si>
    <t>A-10400</t>
  </si>
  <si>
    <t>A-10401</t>
  </si>
  <si>
    <t>A-10402</t>
  </si>
  <si>
    <t>A-10403</t>
  </si>
  <si>
    <t>A-10404</t>
  </si>
  <si>
    <t>A-10405</t>
  </si>
  <si>
    <t>A-10406</t>
  </si>
  <si>
    <t>A-10407</t>
  </si>
  <si>
    <t>A-10408</t>
  </si>
  <si>
    <t>A-10409</t>
  </si>
  <si>
    <t>A-10410</t>
  </si>
  <si>
    <t>A-10411</t>
  </si>
  <si>
    <t>A-10412</t>
  </si>
  <si>
    <t>A-10413</t>
  </si>
  <si>
    <t>A-10414</t>
  </si>
  <si>
    <t>A-10415</t>
  </si>
  <si>
    <t>A-10416</t>
  </si>
  <si>
    <t>A-10417</t>
  </si>
  <si>
    <t>A-10418</t>
  </si>
  <si>
    <t>A-10419</t>
  </si>
  <si>
    <t>A-10420</t>
  </si>
  <si>
    <t>A-10421</t>
  </si>
  <si>
    <t>A-10422</t>
  </si>
  <si>
    <t>A-10423</t>
  </si>
  <si>
    <t>A-10424</t>
  </si>
  <si>
    <t>A-10425</t>
  </si>
  <si>
    <t>A-10426</t>
  </si>
  <si>
    <t>A-10427</t>
  </si>
  <si>
    <t>A-10428</t>
  </si>
  <si>
    <t>A-10429</t>
  </si>
  <si>
    <t>A-10430</t>
  </si>
  <si>
    <t>A-10431</t>
  </si>
  <si>
    <t>A-10432</t>
  </si>
  <si>
    <t>A-10433</t>
  </si>
  <si>
    <t>A-10434</t>
  </si>
  <si>
    <t>A-10435</t>
  </si>
  <si>
    <t>A-10436</t>
  </si>
  <si>
    <t>A-10437</t>
  </si>
  <si>
    <t>A-10438</t>
  </si>
  <si>
    <t>A-10439</t>
  </si>
  <si>
    <t>A-10440</t>
  </si>
  <si>
    <t>A-10441</t>
  </si>
  <si>
    <t>A-10442</t>
  </si>
  <si>
    <t>A-10443</t>
  </si>
  <si>
    <t>A-10444</t>
  </si>
  <si>
    <t>A-10445</t>
  </si>
  <si>
    <t>A-10446</t>
  </si>
  <si>
    <t>A-10447</t>
  </si>
  <si>
    <t>A-10448</t>
  </si>
  <si>
    <t>A-10449</t>
  </si>
  <si>
    <t>A-10450</t>
  </si>
  <si>
    <t>A-10451</t>
  </si>
  <si>
    <t>A-10452</t>
  </si>
  <si>
    <t>A-10453</t>
  </si>
  <si>
    <t>A-10454</t>
  </si>
  <si>
    <t>A-10455</t>
  </si>
  <si>
    <t>A-10456</t>
  </si>
  <si>
    <t>A-10457</t>
  </si>
  <si>
    <t>A-10458</t>
  </si>
  <si>
    <t>A-10459</t>
  </si>
  <si>
    <t>A-10460</t>
  </si>
  <si>
    <t>A-10461</t>
  </si>
  <si>
    <t>A-10462</t>
  </si>
  <si>
    <t>A-10463</t>
  </si>
  <si>
    <t>A-10464</t>
  </si>
  <si>
    <t>A-10465</t>
  </si>
  <si>
    <t>A-10466</t>
  </si>
  <si>
    <t>A-10467</t>
  </si>
  <si>
    <t>A-10468</t>
  </si>
  <si>
    <t>A-10469</t>
  </si>
  <si>
    <t>A-10470</t>
  </si>
  <si>
    <t>A-10471</t>
  </si>
  <si>
    <t>A-10472</t>
  </si>
  <si>
    <t>A-10473</t>
  </si>
  <si>
    <t>A-10474</t>
  </si>
  <si>
    <t>A-10475</t>
  </si>
  <si>
    <t>A-10476</t>
  </si>
  <si>
    <t>A-10477</t>
  </si>
  <si>
    <t>A-10478</t>
  </si>
  <si>
    <t>A-10479</t>
  </si>
  <si>
    <t>A-10480</t>
  </si>
  <si>
    <t>A-10481</t>
  </si>
  <si>
    <t>A-10482</t>
  </si>
  <si>
    <t>A-10483</t>
  </si>
  <si>
    <t>A-10484</t>
  </si>
  <si>
    <t>A-10485</t>
  </si>
  <si>
    <t>A-10486</t>
  </si>
  <si>
    <t>A-10487</t>
  </si>
  <si>
    <t>A-10488</t>
  </si>
  <si>
    <t>A-10489</t>
  </si>
  <si>
    <t>A-10490</t>
  </si>
  <si>
    <t>A-10491</t>
  </si>
  <si>
    <t>A-10492</t>
  </si>
  <si>
    <t>A-10493</t>
  </si>
  <si>
    <t>A-10494</t>
  </si>
  <si>
    <t>A-10495</t>
  </si>
  <si>
    <t>A-10496</t>
  </si>
  <si>
    <t>A-10497</t>
  </si>
  <si>
    <t>A-10498</t>
  </si>
  <si>
    <t>A-10499</t>
  </si>
  <si>
    <t>A-10500</t>
  </si>
  <si>
    <t>A-10501</t>
  </si>
  <si>
    <t>A-10502</t>
  </si>
  <si>
    <t>A-10503</t>
  </si>
  <si>
    <t>A-10504</t>
  </si>
  <si>
    <t>A-10505</t>
  </si>
  <si>
    <t>A-10506</t>
  </si>
  <si>
    <t>A-10507</t>
  </si>
  <si>
    <t>A-10508</t>
  </si>
  <si>
    <t>A-10509</t>
  </si>
  <si>
    <t>A-10510</t>
  </si>
  <si>
    <t>A-10511</t>
  </si>
  <si>
    <t>A-10512</t>
  </si>
  <si>
    <t>A-10513</t>
  </si>
  <si>
    <t>A-10514</t>
  </si>
  <si>
    <t>A-10515</t>
  </si>
  <si>
    <t>A-10516</t>
  </si>
  <si>
    <t>A-10517</t>
  </si>
  <si>
    <t>A-10518</t>
  </si>
  <si>
    <t>A-10519</t>
  </si>
  <si>
    <t>A-10520</t>
  </si>
  <si>
    <t>A-10521</t>
  </si>
  <si>
    <t>A-10522</t>
  </si>
  <si>
    <t>A-10523</t>
  </si>
  <si>
    <t>A-10524</t>
  </si>
  <si>
    <t>A-10525</t>
  </si>
  <si>
    <t>A-10526</t>
  </si>
  <si>
    <t>A-10527</t>
  </si>
  <si>
    <t>A-10528</t>
  </si>
  <si>
    <t>A-10529</t>
  </si>
  <si>
    <t>A-10530</t>
  </si>
  <si>
    <t>A-10531</t>
  </si>
  <si>
    <t>A-10532</t>
  </si>
  <si>
    <t>A-10533</t>
  </si>
  <si>
    <t>A-10534</t>
  </si>
  <si>
    <t>A-10535</t>
  </si>
  <si>
    <t>A-10536</t>
  </si>
  <si>
    <t>A-10537</t>
  </si>
  <si>
    <t>A-10538</t>
  </si>
  <si>
    <t>A-10539</t>
  </si>
  <si>
    <t>A-10540</t>
  </si>
  <si>
    <t>A-10541</t>
  </si>
  <si>
    <t>A-10542</t>
  </si>
  <si>
    <t>A-10543</t>
  </si>
  <si>
    <t>A-10544</t>
  </si>
  <si>
    <t>A-10545</t>
  </si>
  <si>
    <t>A-10546</t>
  </si>
  <si>
    <t>A-10547</t>
  </si>
  <si>
    <t>A-10548</t>
  </si>
  <si>
    <t>A-10549</t>
  </si>
  <si>
    <t>A-10550</t>
  </si>
  <si>
    <t>A-10551</t>
  </si>
  <si>
    <t>A-10552</t>
  </si>
  <si>
    <t>A-10553</t>
  </si>
  <si>
    <t>A-10554</t>
  </si>
  <si>
    <t>A-10555</t>
  </si>
  <si>
    <t>A-10556</t>
  </si>
  <si>
    <t>A-10557</t>
  </si>
  <si>
    <t>A-10558</t>
  </si>
  <si>
    <t>A-10559</t>
  </si>
  <si>
    <t>A-10560</t>
  </si>
  <si>
    <t>A-10561</t>
  </si>
  <si>
    <t>A-10562</t>
  </si>
  <si>
    <t>A-10563</t>
  </si>
  <si>
    <t>A-10564</t>
  </si>
  <si>
    <t>A-10565</t>
  </si>
  <si>
    <t>A-10566</t>
  </si>
  <si>
    <t>A-10567</t>
  </si>
  <si>
    <t>A-10568</t>
  </si>
  <si>
    <t>A-10569</t>
  </si>
  <si>
    <t>A-10570</t>
  </si>
  <si>
    <t>A-10571</t>
  </si>
  <si>
    <t>A-10572</t>
  </si>
  <si>
    <t>A-10573</t>
  </si>
  <si>
    <t>A-10574</t>
  </si>
  <si>
    <t>A-10575</t>
  </si>
  <si>
    <t>A-10576</t>
  </si>
  <si>
    <t>A-10577</t>
  </si>
  <si>
    <t>A-10578</t>
  </si>
  <si>
    <t>A-10579</t>
  </si>
  <si>
    <t>A-10580</t>
  </si>
  <si>
    <t>A-10581</t>
  </si>
  <si>
    <t>A-10582</t>
  </si>
  <si>
    <t>A-10583</t>
  </si>
  <si>
    <t>A-10584</t>
  </si>
  <si>
    <t>A-10585</t>
  </si>
  <si>
    <t>A-10586</t>
  </si>
  <si>
    <t>A-10587</t>
  </si>
  <si>
    <t>A-10588</t>
  </si>
  <si>
    <t>A-10589</t>
  </si>
  <si>
    <t>A-10590</t>
  </si>
  <si>
    <t>A-10591</t>
  </si>
  <si>
    <t>A-10592</t>
  </si>
  <si>
    <t>A-10593</t>
  </si>
  <si>
    <t>A-10594</t>
  </si>
  <si>
    <t>A-10595</t>
  </si>
  <si>
    <t>A-10596</t>
  </si>
  <si>
    <t>A-10597</t>
  </si>
  <si>
    <t>A-10598</t>
  </si>
  <si>
    <t>A-10599</t>
  </si>
  <si>
    <t>Amefa Order Portal (Demo) – Excel Data Model</t>
  </si>
  <si>
    <t>Goal</t>
  </si>
  <si>
    <t>Use this workbook as a simple 'database' to simulate real order movement. Add orders + order lines, and the Dashboard sheet updates automatically.</t>
  </si>
  <si>
    <t>How to use (quick)</t>
  </si>
  <si>
    <t>1) Go to Customers: pick/enter a CustomerID and customer details.</t>
  </si>
  <si>
    <t>2) Go to Products: pick/enter ProductID, name, and unit price.</t>
  </si>
  <si>
    <t>3) Go to Orders: add a new order row (OrderID, OrderDate, CustomerID, Status, ExpectedDelivery).</t>
  </si>
  <si>
    <t>4) Go to OrderLines: add the lines for that OrderID (ProductID, Qty). UnitPrice is looked up from Products.</t>
  </si>
  <si>
    <t>5) Total on Orders is calculated from OrderLines. Dashboard KPIs pull from Orders.</t>
  </si>
  <si>
    <t>Tip: Change the selected CustomerID on Dashboard (cell B2) to see that customer's KPIs.</t>
  </si>
  <si>
    <t>Notes</t>
  </si>
  <si>
    <t>• Status values are validated (Pending, Processing, Shipped, Delivered, Cancelled).</t>
  </si>
  <si>
    <t>• Dashboard formulas use modern Excel functions (FILTER/SORT/TAKE/MINIFS). If your Excel is older, you can still sort Orders manually.</t>
  </si>
  <si>
    <t>CustomerID</t>
  </si>
  <si>
    <t>CustomerName</t>
  </si>
  <si>
    <t>Email</t>
  </si>
  <si>
    <t>Country</t>
  </si>
  <si>
    <t>Segment</t>
  </si>
  <si>
    <t>CUST-001</t>
  </si>
  <si>
    <t>Amefa Demo Customer</t>
  </si>
  <si>
    <t>buyer@demo.com</t>
  </si>
  <si>
    <t>DE</t>
  </si>
  <si>
    <t>B2B</t>
  </si>
  <si>
    <t>CUST-002</t>
  </si>
  <si>
    <t>Hotel Gruppe Nord</t>
  </si>
  <si>
    <t>procurement@hotel-nord.com</t>
  </si>
  <si>
    <t>Hospitality</t>
  </si>
  <si>
    <t>CUST-003</t>
  </si>
  <si>
    <t>Retail Partner West</t>
  </si>
  <si>
    <t>orders@retailwest.com</t>
  </si>
  <si>
    <t>NL</t>
  </si>
  <si>
    <t>Retail</t>
  </si>
  <si>
    <t>CUST-004</t>
  </si>
  <si>
    <t>Alpine Tech Solutions</t>
  </si>
  <si>
    <t>sales@alpinetec.com</t>
  </si>
  <si>
    <t>CUST-005</t>
  </si>
  <si>
    <t>BlueWave Logistics</t>
  </si>
  <si>
    <t>contact@bluewavelog.com</t>
  </si>
  <si>
    <t>Logistics</t>
  </si>
  <si>
    <t>CUST-006</t>
  </si>
  <si>
    <t>Nordic Food Services</t>
  </si>
  <si>
    <t>procurement@nordicfood.se</t>
  </si>
  <si>
    <t>SE</t>
  </si>
  <si>
    <t>Food Service</t>
  </si>
  <si>
    <t>CUST-007</t>
  </si>
  <si>
    <t>Iberia Retail Group</t>
  </si>
  <si>
    <t>orders@iberiaretail.es</t>
  </si>
  <si>
    <t>ES</t>
  </si>
  <si>
    <t>CUST-008</t>
  </si>
  <si>
    <t>Renato</t>
  </si>
  <si>
    <t>business@greenfieldenergy.de</t>
  </si>
  <si>
    <t>Energy</t>
  </si>
  <si>
    <t>CUST-009</t>
  </si>
  <si>
    <t>CityStay Hotels</t>
  </si>
  <si>
    <t>purchasing@citystayhotels.com</t>
  </si>
  <si>
    <t>FR</t>
  </si>
  <si>
    <t>CUST-010</t>
  </si>
  <si>
    <t>SmartBuild Construction</t>
  </si>
  <si>
    <t>info@smartbuildco.uk</t>
  </si>
  <si>
    <t>UK</t>
  </si>
  <si>
    <t>Construction</t>
  </si>
  <si>
    <t>CUST-011</t>
  </si>
  <si>
    <t>MediCare Supplies</t>
  </si>
  <si>
    <t>orders@medicaresup.com</t>
  </si>
  <si>
    <t>Healthcare</t>
  </si>
  <si>
    <t>CUST-012</t>
  </si>
  <si>
    <t>EuroParts Distribution</t>
  </si>
  <si>
    <t>sales@europarts.eu</t>
  </si>
  <si>
    <t>BE</t>
  </si>
  <si>
    <t>Distribution</t>
  </si>
  <si>
    <t>CUST-013</t>
  </si>
  <si>
    <t>Prime Office Solutions</t>
  </si>
  <si>
    <t>b2b@primeoffice.it</t>
  </si>
  <si>
    <t>IT</t>
  </si>
  <si>
    <t>CUST-014</t>
  </si>
  <si>
    <t>CloudNine Retailers</t>
  </si>
  <si>
    <t>support@cloudnineretail.com</t>
  </si>
  <si>
    <t>CUST-015</t>
  </si>
  <si>
    <t>Metro Transport Services</t>
  </si>
  <si>
    <t>contact@metrotrans.de</t>
  </si>
  <si>
    <t>Transport</t>
  </si>
  <si>
    <t>CUST-016</t>
  </si>
  <si>
    <t>Hotel Riviera Group</t>
  </si>
  <si>
    <t>procurement@rivierahotel.fr</t>
  </si>
  <si>
    <t>CUST-017</t>
  </si>
  <si>
    <t>AgroPlus Trading</t>
  </si>
  <si>
    <t>trade@agroplus.pl</t>
  </si>
  <si>
    <t>PL</t>
  </si>
  <si>
    <t>Agriculture</t>
  </si>
  <si>
    <t>CUST-018</t>
  </si>
  <si>
    <t>NextGen Electronics</t>
  </si>
  <si>
    <t>sales@nextgenelec.com</t>
  </si>
  <si>
    <t>Electronics</t>
  </si>
  <si>
    <t>CUST-019</t>
  </si>
  <si>
    <t>UrbanStyle Stores</t>
  </si>
  <si>
    <t>orders@urbanstyle.es</t>
  </si>
  <si>
    <t>CUST-020</t>
  </si>
  <si>
    <t>NordWind Renewables</t>
  </si>
  <si>
    <t>info@nordwind.dk</t>
  </si>
  <si>
    <t>DK</t>
  </si>
  <si>
    <t>CUST-021</t>
  </si>
  <si>
    <t>GlobalChem Industries</t>
  </si>
  <si>
    <t>purchasing@globalchem.de</t>
  </si>
  <si>
    <t>Chemical</t>
  </si>
  <si>
    <t>CUST-022</t>
  </si>
  <si>
    <t>FreshMart Wholesale</t>
  </si>
  <si>
    <t>orders@freshmart.be</t>
  </si>
  <si>
    <t>Wholesale</t>
  </si>
  <si>
    <t>CUST-023</t>
  </si>
  <si>
    <t>AeroLink Services</t>
  </si>
  <si>
    <t>contact@aerolink.nl</t>
  </si>
  <si>
    <t>Aviation</t>
  </si>
  <si>
    <t>CUST-024</t>
  </si>
  <si>
    <t>SteelCore Manufacturing</t>
  </si>
  <si>
    <t>sales@steelcore.it</t>
  </si>
  <si>
    <t>Manufacturing</t>
  </si>
  <si>
    <t>CUST-025</t>
  </si>
  <si>
    <t>SmartHome Integrators</t>
  </si>
  <si>
    <t>business@smarthome.de</t>
  </si>
  <si>
    <t>Technology</t>
  </si>
  <si>
    <t>CUST-026</t>
  </si>
  <si>
    <t>WellCare Clinics</t>
  </si>
  <si>
    <t>procurement@wellcare.uk</t>
  </si>
  <si>
    <t>CUST-027</t>
  </si>
  <si>
    <t>LogiFast Couriers</t>
  </si>
  <si>
    <t>support@logifast.fr</t>
  </si>
  <si>
    <t>CUST-028</t>
  </si>
  <si>
    <t>EcoLiving Products</t>
  </si>
  <si>
    <t>info@ecoliving.se</t>
  </si>
  <si>
    <t>Consumer Goods</t>
  </si>
  <si>
    <t>CUST-029</t>
  </si>
  <si>
    <t>RetailOne Europe</t>
  </si>
  <si>
    <t>orders@retailone.eu</t>
  </si>
  <si>
    <t>CUST-030</t>
  </si>
  <si>
    <t>SunRise Hospitality Group</t>
  </si>
  <si>
    <t>buying@sunrisehotels.es</t>
  </si>
  <si>
    <t>CUST-031</t>
  </si>
  <si>
    <t>AutoParts Central</t>
  </si>
  <si>
    <t>sales@autoparts.pl</t>
  </si>
  <si>
    <t>Automotive</t>
  </si>
  <si>
    <t>CUST-032</t>
  </si>
  <si>
    <t>DigiWorks Consulting</t>
  </si>
  <si>
    <t>contact@digiworks.de</t>
  </si>
  <si>
    <t>Consulting</t>
  </si>
  <si>
    <t>CUST-033</t>
  </si>
  <si>
    <t>FarmFresh Co-op</t>
  </si>
  <si>
    <t>orders@farmfresh.nl</t>
  </si>
  <si>
    <t>CUST-034</t>
  </si>
  <si>
    <t>IronBridge Engineering</t>
  </si>
  <si>
    <t>info@ironbridge.co.uk</t>
  </si>
  <si>
    <t>Engineering</t>
  </si>
  <si>
    <t>CUST-035</t>
  </si>
  <si>
    <t>HealthFirst Pharma</t>
  </si>
  <si>
    <t>procurement@healthfirst.de</t>
  </si>
  <si>
    <t>Pharmaceutical</t>
  </si>
  <si>
    <t>CUST-036</t>
  </si>
  <si>
    <t>CargoNet Europe</t>
  </si>
  <si>
    <t>sales@cargonet.eu</t>
  </si>
  <si>
    <t>CUST-037</t>
  </si>
  <si>
    <t>DesignHub Studios</t>
  </si>
  <si>
    <t>hello@designhub.it</t>
  </si>
  <si>
    <t>Creative</t>
  </si>
  <si>
    <t>CUST-038</t>
  </si>
  <si>
    <t>PowerGrid Solutions</t>
  </si>
  <si>
    <t>business@powergrid.de</t>
  </si>
  <si>
    <t>CUST-039</t>
  </si>
  <si>
    <t>RetailBox Outlets</t>
  </si>
  <si>
    <t>orders@retailbox.fr</t>
  </si>
  <si>
    <t>CUST-040</t>
  </si>
  <si>
    <t>OceanView Resorts</t>
  </si>
  <si>
    <t>procurement@oceanview.pt</t>
  </si>
  <si>
    <t>PT</t>
  </si>
  <si>
    <t>CUST-041</t>
  </si>
  <si>
    <t>DataFlow Systems</t>
  </si>
  <si>
    <t>sales@dataflow.de</t>
  </si>
  <si>
    <t>IT Services</t>
  </si>
  <si>
    <t>CUST-042</t>
  </si>
  <si>
    <t>BuildRight Materials</t>
  </si>
  <si>
    <t>info@buildright.es</t>
  </si>
  <si>
    <t>CUST-043</t>
  </si>
  <si>
    <t>SwiftTrade Europe</t>
  </si>
  <si>
    <t>trade@swifttrade.nl</t>
  </si>
  <si>
    <t>Trading</t>
  </si>
  <si>
    <t>CUST-044</t>
  </si>
  <si>
    <t>MedSupply Network</t>
  </si>
  <si>
    <t>orders@medsupply.se</t>
  </si>
  <si>
    <t>CUST-045</t>
  </si>
  <si>
    <t>AutoMotion Group</t>
  </si>
  <si>
    <t>purchasing@automotion.de</t>
  </si>
  <si>
    <t>CUST-046</t>
  </si>
  <si>
    <t>GreenPack Solutions</t>
  </si>
  <si>
    <t>sales@greenpack.it</t>
  </si>
  <si>
    <t>Packaging</t>
  </si>
  <si>
    <t>CUST-047</t>
  </si>
  <si>
    <t>CityMarket Stores</t>
  </si>
  <si>
    <t>orders@citymarket.be</t>
  </si>
  <si>
    <t>CUST-048</t>
  </si>
  <si>
    <t>TechNova Labs</t>
  </si>
  <si>
    <t>info@technova.de</t>
  </si>
  <si>
    <t>CUST-049</t>
  </si>
  <si>
    <t>Hotel Central Europe</t>
  </si>
  <si>
    <t>procurement@hotelcentral.at</t>
  </si>
  <si>
    <t>AT</t>
  </si>
  <si>
    <t>CUST-050</t>
  </si>
  <si>
    <t>Industrial Tools AG</t>
  </si>
  <si>
    <t>sales@indtools.de</t>
  </si>
  <si>
    <t>Industrial</t>
  </si>
  <si>
    <t>CUST-051</t>
  </si>
  <si>
    <t>FoodLink Distributors</t>
  </si>
  <si>
    <t>orders@foodlink.fr</t>
  </si>
  <si>
    <t>Food Distribution</t>
  </si>
  <si>
    <t>CUST-052</t>
  </si>
  <si>
    <t>MobilityPlus Services</t>
  </si>
  <si>
    <t>info@mobilityplus.nl</t>
  </si>
  <si>
    <t>Mobility</t>
  </si>
  <si>
    <t>CUST-053</t>
  </si>
  <si>
    <t>EuroBusiness Partners</t>
  </si>
  <si>
    <t>contact@eubusiness.de</t>
  </si>
  <si>
    <t>C0001</t>
  </si>
  <si>
    <t>Beth</t>
  </si>
  <si>
    <t>beth@tesst.com</t>
  </si>
  <si>
    <t>Cebu@RL2020</t>
  </si>
  <si>
    <t>2026-02-01 20:23:27</t>
  </si>
  <si>
    <t>C0002</t>
  </si>
  <si>
    <t>Roland</t>
  </si>
  <si>
    <t>roland@gmail.com</t>
  </si>
  <si>
    <t>test12345</t>
  </si>
  <si>
    <t>2026-02-01 20:42:11</t>
  </si>
  <si>
    <t>ProductName</t>
  </si>
  <si>
    <t>Category</t>
  </si>
  <si>
    <t>Currency</t>
  </si>
  <si>
    <t>Active</t>
  </si>
  <si>
    <t>Cutlery Set – Classic (24pcs)</t>
  </si>
  <si>
    <t>Cutlery</t>
  </si>
  <si>
    <t>EUR</t>
  </si>
  <si>
    <t>Y</t>
  </si>
  <si>
    <t>Steak Knife – Pro</t>
  </si>
  <si>
    <t>Knives</t>
  </si>
  <si>
    <t>Serving Spoon – Stainless</t>
  </si>
  <si>
    <t>Serving</t>
  </si>
  <si>
    <t>Table Fork – Classic</t>
  </si>
  <si>
    <t>Table Knife – Classic</t>
  </si>
  <si>
    <t>OrderDate</t>
  </si>
  <si>
    <t>Status</t>
  </si>
  <si>
    <t>PaymentStatus</t>
  </si>
  <si>
    <t>ExpectedDelivery</t>
  </si>
  <si>
    <t>Total</t>
  </si>
  <si>
    <t>Shipped</t>
  </si>
  <si>
    <t>Paid</t>
  </si>
  <si>
    <t>€ 41.782,80</t>
  </si>
  <si>
    <t>Standard order</t>
  </si>
  <si>
    <t>Processing</t>
  </si>
  <si>
    <t>Unpaid</t>
  </si>
  <si>
    <t>€ 12.224,70</t>
  </si>
  <si>
    <t>Standard order | Awaiting Payment</t>
  </si>
  <si>
    <t>€ 41.980,00</t>
  </si>
  <si>
    <t>€ 7.805,80</t>
  </si>
  <si>
    <t>Pending</t>
  </si>
  <si>
    <t>€ 8.720,40</t>
  </si>
  <si>
    <t>Delivered</t>
  </si>
  <si>
    <t>€ 33.058,40</t>
  </si>
  <si>
    <t>Delivery delayed. New expected delivery: 2026-01-08</t>
  </si>
  <si>
    <t>€ 39.644,50</t>
  </si>
  <si>
    <t>€ 32.627,20</t>
  </si>
  <si>
    <t>€ 57.862,00</t>
  </si>
  <si>
    <t>€ 11.533,00</t>
  </si>
  <si>
    <t>€ 42.983,90</t>
  </si>
  <si>
    <t>€ 54.515,80</t>
  </si>
  <si>
    <t>€ 41.325,70</t>
  </si>
  <si>
    <t>€ 49.466,50</t>
  </si>
  <si>
    <t>€ 51.814,80</t>
  </si>
  <si>
    <t>€ 14.021,80</t>
  </si>
  <si>
    <t>€ 14.118,00</t>
  </si>
  <si>
    <t>€ 32.987,80</t>
  </si>
  <si>
    <t>€ 49.717,20</t>
  </si>
  <si>
    <t>€ 2.033,20</t>
  </si>
  <si>
    <t>€ 36.189,40</t>
  </si>
  <si>
    <t>€ 4.397,50</t>
  </si>
  <si>
    <t>€ 33.157,60</t>
  </si>
  <si>
    <t>€ 52.327,40</t>
  </si>
  <si>
    <t>€ 3.116,10</t>
  </si>
  <si>
    <t>€ 45.642,90</t>
  </si>
  <si>
    <t>€ 35.911,80</t>
  </si>
  <si>
    <t>Delivery delayed. New expected delivery: 2026-01-01</t>
  </si>
  <si>
    <t>€ 34.604,40</t>
  </si>
  <si>
    <t>€ 33.630,00</t>
  </si>
  <si>
    <t>€ 21.259,60</t>
  </si>
  <si>
    <t>€ 49.224,40</t>
  </si>
  <si>
    <t>€ 43.129,10</t>
  </si>
  <si>
    <t>€ 31.796,20</t>
  </si>
  <si>
    <t>Delivery delayed. New expected delivery: 2026-02-13</t>
  </si>
  <si>
    <t>€ 36.993,70</t>
  </si>
  <si>
    <t>€ 39.110,60</t>
  </si>
  <si>
    <t>Delivery delayed. New expected delivery: 2026-01-04</t>
  </si>
  <si>
    <t>€ 19.013,80</t>
  </si>
  <si>
    <t>€ 33.039,70</t>
  </si>
  <si>
    <t>€ 48.302,60</t>
  </si>
  <si>
    <t>€ 15.298,80</t>
  </si>
  <si>
    <t>€ 50.728,70</t>
  </si>
  <si>
    <t>€ 31.359,50</t>
  </si>
  <si>
    <t>€ 34.359,90</t>
  </si>
  <si>
    <t>€ 53.363,80</t>
  </si>
  <si>
    <t>€ 6.727,30</t>
  </si>
  <si>
    <t>€ 20.193,20</t>
  </si>
  <si>
    <t>€ 32.132,50</t>
  </si>
  <si>
    <t>€ 40.458,50</t>
  </si>
  <si>
    <t>€ 9.510,80</t>
  </si>
  <si>
    <t>€ 24.050,00</t>
  </si>
  <si>
    <t>€ 31.306,60</t>
  </si>
  <si>
    <t>€ 46.934,50</t>
  </si>
  <si>
    <t>€ 37.174,60</t>
  </si>
  <si>
    <t>€ 51.366,00</t>
  </si>
  <si>
    <t>€ 39.163,20</t>
  </si>
  <si>
    <t>€ 56.453,10</t>
  </si>
  <si>
    <t>€ 7.475,70</t>
  </si>
  <si>
    <t>€ 35.058,80</t>
  </si>
  <si>
    <t>Delivery delayed. New expected delivery: 2026-01-29</t>
  </si>
  <si>
    <t>€ 54.489,20</t>
  </si>
  <si>
    <t>€ 35.209,80</t>
  </si>
  <si>
    <t>€ 17.682,40</t>
  </si>
  <si>
    <t>€ 22.060,80</t>
  </si>
  <si>
    <t>Delivery delayed. New expected delivery: 2026-02-16</t>
  </si>
  <si>
    <t>€ 46.045,50</t>
  </si>
  <si>
    <t>€ 45.157,00</t>
  </si>
  <si>
    <t>€ 53.914,20</t>
  </si>
  <si>
    <t>€ 15.069,20</t>
  </si>
  <si>
    <t>€ 8.841,20</t>
  </si>
  <si>
    <t>Delivery delayed. New expected delivery: 2026-01-10</t>
  </si>
  <si>
    <t>€ 18.034,50</t>
  </si>
  <si>
    <t>€ 9.885,60</t>
  </si>
  <si>
    <t>€ 25.441,40</t>
  </si>
  <si>
    <t>€ 2.095,60</t>
  </si>
  <si>
    <t>€ 25.204,40</t>
  </si>
  <si>
    <t>€ 41.968,40</t>
  </si>
  <si>
    <t>€ 16.898,40</t>
  </si>
  <si>
    <t>€ 55.259,90</t>
  </si>
  <si>
    <t>€ 51.048,40</t>
  </si>
  <si>
    <t>€ 16.568,00</t>
  </si>
  <si>
    <t>€ 16.059,90</t>
  </si>
  <si>
    <t>Delivery delayed. New expected delivery: 2026-02-09</t>
  </si>
  <si>
    <t>€ 3.904,50</t>
  </si>
  <si>
    <t>€ 54.042,50</t>
  </si>
  <si>
    <t>€ 643,20</t>
  </si>
  <si>
    <t>€ 28.435,70</t>
  </si>
  <si>
    <t>€ 11.745,30</t>
  </si>
  <si>
    <t>€ 33.089,40</t>
  </si>
  <si>
    <t>€ 54.106,30</t>
  </si>
  <si>
    <t>€ 30.414,90</t>
  </si>
  <si>
    <t>€ 19.934,60</t>
  </si>
  <si>
    <t>€ 44.502,50</t>
  </si>
  <si>
    <t>€ 22.931,30</t>
  </si>
  <si>
    <t>€ 34.260,90</t>
  </si>
  <si>
    <t>€ 55.133,60</t>
  </si>
  <si>
    <t>€ 32.629,80</t>
  </si>
  <si>
    <t>€ 9.795,70</t>
  </si>
  <si>
    <t>€ 2.388,00</t>
  </si>
  <si>
    <t>€ 11.752,90</t>
  </si>
  <si>
    <t>€ 40.596,90</t>
  </si>
  <si>
    <t>€ 26.046,20</t>
  </si>
  <si>
    <t>€ 15.048,80</t>
  </si>
  <si>
    <t>€ 31.213,10</t>
  </si>
  <si>
    <t>€ 27.324,30</t>
  </si>
  <si>
    <t>€ 17.878,40</t>
  </si>
  <si>
    <t>€ 43.705,30</t>
  </si>
  <si>
    <t>€ 24.323,10</t>
  </si>
  <si>
    <t>€ 48.455,00</t>
  </si>
  <si>
    <t>€ 55.495,00</t>
  </si>
  <si>
    <t>€ 56.723,10</t>
  </si>
  <si>
    <t>Delivery delayed. New expected delivery: 2026-01-13</t>
  </si>
  <si>
    <t>€ 15.194,00</t>
  </si>
  <si>
    <t>€ 51.727,20</t>
  </si>
  <si>
    <t>€ 22.584,30</t>
  </si>
  <si>
    <t>€ 1.229,80</t>
  </si>
  <si>
    <t>€ 49.380,50</t>
  </si>
  <si>
    <t>€ 51.909,70</t>
  </si>
  <si>
    <t>€ 35.193,30</t>
  </si>
  <si>
    <t>€ 45.877,50</t>
  </si>
  <si>
    <t>€ 56.633,30</t>
  </si>
  <si>
    <t>€ 52.927,10</t>
  </si>
  <si>
    <t>€ 20.071,20</t>
  </si>
  <si>
    <t>€ 13.556,50</t>
  </si>
  <si>
    <t>€ 25.724,40</t>
  </si>
  <si>
    <t>€ 28.204,70</t>
  </si>
  <si>
    <t>€ 1.677,90</t>
  </si>
  <si>
    <t>€ 40.189,70</t>
  </si>
  <si>
    <t>€ 38.768,20</t>
  </si>
  <si>
    <t>€ 27.844,50</t>
  </si>
  <si>
    <t>€ 14.748,60</t>
  </si>
  <si>
    <t>€ 14.592,00</t>
  </si>
  <si>
    <t>€ 37.221,00</t>
  </si>
  <si>
    <t>€ 43.260,30</t>
  </si>
  <si>
    <t>€ 3.775,20</t>
  </si>
  <si>
    <t>€ 31.240,90</t>
  </si>
  <si>
    <t>€ 8.389,50</t>
  </si>
  <si>
    <t>€ 53.870,20</t>
  </si>
  <si>
    <t>€ 57.222,90</t>
  </si>
  <si>
    <t>€ 31.392,60</t>
  </si>
  <si>
    <t>€ 9.163,60</t>
  </si>
  <si>
    <t>€ 20.056,80</t>
  </si>
  <si>
    <t>€ 57.715,70</t>
  </si>
  <si>
    <t>€ 41.867,60</t>
  </si>
  <si>
    <t>€ 25.475,90</t>
  </si>
  <si>
    <t>€ 42.898,70</t>
  </si>
  <si>
    <t>€ 38.791,00</t>
  </si>
  <si>
    <t>€ 11.557,20</t>
  </si>
  <si>
    <t>€ 3.448,50</t>
  </si>
  <si>
    <t>€ 27.113,40</t>
  </si>
  <si>
    <t>€ 13.195,50</t>
  </si>
  <si>
    <t>€ 57.732,10</t>
  </si>
  <si>
    <t>€ 30.797,20</t>
  </si>
  <si>
    <t>€ 40.369,00</t>
  </si>
  <si>
    <t>Delivery delayed. New expected delivery: 2026-02-12</t>
  </si>
  <si>
    <t>€ 32.192,00</t>
  </si>
  <si>
    <t>€ 55.765,20</t>
  </si>
  <si>
    <t>€ 16.000,40</t>
  </si>
  <si>
    <t>€ 45.622,20</t>
  </si>
  <si>
    <t>€ 22.677,20</t>
  </si>
  <si>
    <t>€ 45.463,10</t>
  </si>
  <si>
    <t>€ 44.104,80</t>
  </si>
  <si>
    <t>€ 55.546,00</t>
  </si>
  <si>
    <t>€ 43.894,20</t>
  </si>
  <si>
    <t>€ 47.543,80</t>
  </si>
  <si>
    <t>€ 44.145,90</t>
  </si>
  <si>
    <t>€ 42.446,30</t>
  </si>
  <si>
    <t>€ 35.521,20</t>
  </si>
  <si>
    <t>€ 16.112,00</t>
  </si>
  <si>
    <t>€ 3.283,80</t>
  </si>
  <si>
    <t>€ 19.973,90</t>
  </si>
  <si>
    <t>Delivery delayed. New expected delivery: 2025-12-28</t>
  </si>
  <si>
    <t>€ 45.256,70</t>
  </si>
  <si>
    <t>€ 52.840,60</t>
  </si>
  <si>
    <t>€ 11.428,50</t>
  </si>
  <si>
    <t>€ 43.148,60</t>
  </si>
  <si>
    <t>€ 18.348,60</t>
  </si>
  <si>
    <t>€ 34.389,00</t>
  </si>
  <si>
    <t>€ 6.834,60</t>
  </si>
  <si>
    <t>€ 51.215,10</t>
  </si>
  <si>
    <t>€ 51.918,00</t>
  </si>
  <si>
    <t>€ 10.987,20</t>
  </si>
  <si>
    <t>€ 20.869,20</t>
  </si>
  <si>
    <t>€ 51.980,60</t>
  </si>
  <si>
    <t>€ 36.882,50</t>
  </si>
  <si>
    <t>€ 35.881,50</t>
  </si>
  <si>
    <t>€ 10.601,60</t>
  </si>
  <si>
    <t>€ 20.760,00</t>
  </si>
  <si>
    <t>€ 53.217,80</t>
  </si>
  <si>
    <t>€ 54.077,70</t>
  </si>
  <si>
    <t>€ 50.699,60</t>
  </si>
  <si>
    <t>€ 2.121,60</t>
  </si>
  <si>
    <t>€ 18.122,70</t>
  </si>
  <si>
    <t>€ 23.071,00</t>
  </si>
  <si>
    <t>€ 21.239,20</t>
  </si>
  <si>
    <t>€ 14.539,20</t>
  </si>
  <si>
    <t>€ 6.779,60</t>
  </si>
  <si>
    <t>€ 57.161,90</t>
  </si>
  <si>
    <t>€ 47.943,70</t>
  </si>
  <si>
    <t>€ 52.701,00</t>
  </si>
  <si>
    <t>€ 24.853,40</t>
  </si>
  <si>
    <t>€ 1.501,40</t>
  </si>
  <si>
    <t>€ 36.228,10</t>
  </si>
  <si>
    <t>€ 14.916,70</t>
  </si>
  <si>
    <t>€ 57.225,10</t>
  </si>
  <si>
    <t>€ 43.993,80</t>
  </si>
  <si>
    <t>€ 39.083,20</t>
  </si>
  <si>
    <t>€ 30.766,80</t>
  </si>
  <si>
    <t>€ 50.825,70</t>
  </si>
  <si>
    <t>€ 34.205,00</t>
  </si>
  <si>
    <t>€ 52.214,30</t>
  </si>
  <si>
    <t>€ 1.884,80</t>
  </si>
  <si>
    <t>€ 31.487,80</t>
  </si>
  <si>
    <t>€ 11.271,60</t>
  </si>
  <si>
    <t>€ 26.542,20</t>
  </si>
  <si>
    <t>€ 25.457,20</t>
  </si>
  <si>
    <t>€ 25.945,40</t>
  </si>
  <si>
    <t>Delivery delayed. New expected delivery: 2025-12-20</t>
  </si>
  <si>
    <t>€ 49.122,70</t>
  </si>
  <si>
    <t>€ 54.842,50</t>
  </si>
  <si>
    <t>€ 23.253,60</t>
  </si>
  <si>
    <t>€ 3.570,60</t>
  </si>
  <si>
    <t>€ 23.435,50</t>
  </si>
  <si>
    <t>€ 24.484,10</t>
  </si>
  <si>
    <t>€ 20.911,80</t>
  </si>
  <si>
    <t>€ 30.801,60</t>
  </si>
  <si>
    <t>€ 57.343,10</t>
  </si>
  <si>
    <t>€ 23.570,50</t>
  </si>
  <si>
    <t>€ 34.104,90</t>
  </si>
  <si>
    <t>€ 23.410,70</t>
  </si>
  <si>
    <t>€ 30.597,90</t>
  </si>
  <si>
    <t>€ 22.276,80</t>
  </si>
  <si>
    <t>€ 24.973,60</t>
  </si>
  <si>
    <t>€ 41.223,60</t>
  </si>
  <si>
    <t>€ 27.340,40</t>
  </si>
  <si>
    <t>€ 33.616,10</t>
  </si>
  <si>
    <t>€ 47.300,80</t>
  </si>
  <si>
    <t>Delivery delayed. New expected delivery: 2026-02-24</t>
  </si>
  <si>
    <t>€ 7.641,40</t>
  </si>
  <si>
    <t>€ 49.132,80</t>
  </si>
  <si>
    <t>€ 10.946,30</t>
  </si>
  <si>
    <t>€ 559,30</t>
  </si>
  <si>
    <t>€ 54.085,00</t>
  </si>
  <si>
    <t>€ 20.553,00</t>
  </si>
  <si>
    <t>€ 25.529,90</t>
  </si>
  <si>
    <t>€ 37.195,60</t>
  </si>
  <si>
    <t>€ 30.385,90</t>
  </si>
  <si>
    <t>€ 3.364,40</t>
  </si>
  <si>
    <t>€ 42.047,60</t>
  </si>
  <si>
    <t>€ 56.542,80</t>
  </si>
  <si>
    <t>€ 46.584,40</t>
  </si>
  <si>
    <t>€ 38.386,40</t>
  </si>
  <si>
    <t>Delivery delayed. New expected delivery: 2026-01-03</t>
  </si>
  <si>
    <t>€ 57.920,40</t>
  </si>
  <si>
    <t>€ 40.815,00</t>
  </si>
  <si>
    <t>€ 46.384,00</t>
  </si>
  <si>
    <t>€ 19.817,00</t>
  </si>
  <si>
    <t>€ 33.114,20</t>
  </si>
  <si>
    <t>€ 36.499,00</t>
  </si>
  <si>
    <t>€ 52.073,20</t>
  </si>
  <si>
    <t>€ 10.236,20</t>
  </si>
  <si>
    <t>€ 50.114,60</t>
  </si>
  <si>
    <t>€ 25.722,80</t>
  </si>
  <si>
    <t>€ 18.197,00</t>
  </si>
  <si>
    <t>€ 44.912,30</t>
  </si>
  <si>
    <t>€ 54.936,40</t>
  </si>
  <si>
    <t>€ 27.621,00</t>
  </si>
  <si>
    <t>€ 18.382,20</t>
  </si>
  <si>
    <t>Delivery delayed. New expected delivery: 2026-01-30</t>
  </si>
  <si>
    <t>€ 8.454,60</t>
  </si>
  <si>
    <t>€ 46.030,20</t>
  </si>
  <si>
    <t>€ 22.284,80</t>
  </si>
  <si>
    <t>€ 42.886,60</t>
  </si>
  <si>
    <t>€ 31.578,80</t>
  </si>
  <si>
    <t>€ 44.279,90</t>
  </si>
  <si>
    <t>€ 41.042,90</t>
  </si>
  <si>
    <t>€ 27.234,80</t>
  </si>
  <si>
    <t>€ 33.226,40</t>
  </si>
  <si>
    <t>€ 54.382,50</t>
  </si>
  <si>
    <t>€ 44.064,70</t>
  </si>
  <si>
    <t>€ 34.021,80</t>
  </si>
  <si>
    <t>€ 46.508,20</t>
  </si>
  <si>
    <t>€ 25.635,30</t>
  </si>
  <si>
    <t>€ 2.103,40</t>
  </si>
  <si>
    <t>€ 53.146,00</t>
  </si>
  <si>
    <t>€ 17.831,50</t>
  </si>
  <si>
    <t>€ 8.528,60</t>
  </si>
  <si>
    <t>€ 57.468,70</t>
  </si>
  <si>
    <t>€ 40.643,60</t>
  </si>
  <si>
    <t>€ 44.979,20</t>
  </si>
  <si>
    <t>€ 54.436,00</t>
  </si>
  <si>
    <t>€ 15.402,30</t>
  </si>
  <si>
    <t>€ 52.488,40</t>
  </si>
  <si>
    <t>€ 54.249,00</t>
  </si>
  <si>
    <t>€ 5.520,00</t>
  </si>
  <si>
    <t>€ 17.095,70</t>
  </si>
  <si>
    <t>€ 56.061,80</t>
  </si>
  <si>
    <t>€ 23.551,20</t>
  </si>
  <si>
    <t>€ 24.520,60</t>
  </si>
  <si>
    <t>€ 2.191,20</t>
  </si>
  <si>
    <t>€ 5.259,80</t>
  </si>
  <si>
    <t>€ 6.624,00</t>
  </si>
  <si>
    <t>€ 16.834,30</t>
  </si>
  <si>
    <t>€ 13.456,00</t>
  </si>
  <si>
    <t>Delivery delayed. New expected delivery: 2025-12-25</t>
  </si>
  <si>
    <t>€ 5.639,40</t>
  </si>
  <si>
    <t>€ 43.604,80</t>
  </si>
  <si>
    <t>€ 47.011,20</t>
  </si>
  <si>
    <t>€ 47.975,40</t>
  </si>
  <si>
    <t>€ 24.472,00</t>
  </si>
  <si>
    <t>€ 35.695,40</t>
  </si>
  <si>
    <t>€ 40.884,20</t>
  </si>
  <si>
    <t>€ 35.779,10</t>
  </si>
  <si>
    <t>TicketID</t>
  </si>
  <si>
    <t>EmailTracking</t>
  </si>
  <si>
    <t>CreatedAt</t>
  </si>
  <si>
    <t>AME-000003</t>
  </si>
  <si>
    <t>2026-01-28 12:25:51</t>
  </si>
  <si>
    <t>Open</t>
  </si>
  <si>
    <t>AME-000004</t>
  </si>
  <si>
    <t>2026-01-28 14:02:39</t>
  </si>
  <si>
    <t>Customer Dashboard (Excel-driven demo)</t>
  </si>
  <si>
    <t>Selected CustomerID:</t>
  </si>
  <si>
    <t>KPIs</t>
  </si>
  <si>
    <t>Status Summary</t>
  </si>
  <si>
    <t>Orders (30d)</t>
  </si>
  <si>
    <t>Open Orders (Pending+Processing)</t>
  </si>
  <si>
    <t>Total Spent (90d)</t>
  </si>
  <si>
    <t>Next Delivery Date</t>
  </si>
  <si>
    <t>Recent Orders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</si>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</sst>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€\ #,##0.00"/>
    <numFmt numFmtId="166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166" fontId="0" fillId="0" borderId="1" xfId="0" applyNumberFormat="1" applyBorder="1" applyAlignment="1">
      <alignment vertical="center"/>
    </xf>
    <xf numFmtId="166" fontId="0" fillId="0" borderId="0" xfId="0" applyNumberFormat="1"/>
  </cellXfs>
  <cellStyles count="1">
    <cellStyle name="Normal" xfId="0" builtinId="0"/>
  </cellStyles>
  <dxfs count="7">
    <dxf>
      <numFmt numFmtId="164" formatCode="yyyy\-mm\-dd"/>
    </dxf>
    <dxf>
      <numFmt numFmtId="164" formatCode="yyyy\-mm\-dd"/>
    </dxf>
    <dxf>
      <border outline="0">
        <left style="thin">
          <color rgb="FFD0D0D0"/>
        </left>
      </border>
    </dxf>
    <dxf>
      <numFmt numFmtId="166" formatCode="_-[$€-2]\ * #,##0.00_-;\-[$€-2]\ * #,##0.00_-;_-[$€-2]\ * &quot;-&quot;??_-;_-@_-"/>
    </dxf>
    <dxf>
      <border outline="0">
        <right style="thin">
          <color rgb="FFD0D0D0"/>
        </right>
      </border>
    </dxf>
    <dxf>
      <numFmt numFmtId="166" formatCode="_-[$€-2]\ * #,##0.00_-;\-[$€-2]\ * #,##0.00_-;_-[$€-2]\ * &quot;-&quot;??_-;_-@_-"/>
    </dxf>
    <dxf>
      <numFmt numFmtId="166" formatCode="_-[$€-2]\ * #,##0.00_-;\-[$€-2]\ * #,##0.00_-;_-[$€-2]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ustomers" displayName="tblCustomers" ref="A1:E54">
  <autoFilter ref="A1:E54" xr:uid="{00000000-0009-0000-0100-000001000000}"/>
  <sortState xmlns:xlrd2="http://schemas.microsoft.com/office/spreadsheetml/2017/richdata2" ref="A2:E54">
    <sortCondition ref="A1:A54"/>
  </sortState>
  <tableColumns count="5">
    <tableColumn id="1" xr3:uid="{00000000-0010-0000-0000-000001000000}" name="CustomerID"/>
    <tableColumn id="2" xr3:uid="{00000000-0010-0000-0000-000002000000}" name="CustomerName"/>
    <tableColumn id="3" xr3:uid="{00000000-0010-0000-0000-000003000000}" name="Email"/>
    <tableColumn id="4" xr3:uid="{00000000-0010-0000-0000-000004000000}" name="Country"/>
    <tableColumn id="5" xr3:uid="{00000000-0010-0000-0000-000005000000}" name="Seg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s" displayName="tblProducts" ref="A1:F6">
  <autoFilter ref="A1:F6" xr:uid="{00000000-0009-0000-0100-000002000000}"/>
  <tableColumns count="6">
    <tableColumn id="1" xr3:uid="{00000000-0010-0000-0100-000001000000}" name="ProductID"/>
    <tableColumn id="2" xr3:uid="{00000000-0010-0000-0100-000002000000}" name="ProductName"/>
    <tableColumn id="3" xr3:uid="{00000000-0010-0000-0100-000003000000}" name="Category" dataDxfId="4"/>
    <tableColumn id="4" xr3:uid="{00000000-0010-0000-0100-000004000000}" name="UnitPrice" dataDxfId="3"/>
    <tableColumn id="5" xr3:uid="{00000000-0010-0000-0100-000005000000}" name="Currency" dataDxfId="2"/>
    <tableColumn id="6" xr3:uid="{00000000-0010-0000-0100-000006000000}" name="Activ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rders" displayName="tblOrders" ref="A1:I301">
  <autoFilter ref="A1:I301" xr:uid="{00000000-0009-0000-0100-000003000000}"/>
  <sortState xmlns:xlrd2="http://schemas.microsoft.com/office/spreadsheetml/2017/richdata2" ref="A2:I301">
    <sortCondition ref="C1:C301"/>
  </sortState>
  <tableColumns count="9">
    <tableColumn id="1" xr3:uid="{00000000-0010-0000-0200-000001000000}" name="OrderID"/>
    <tableColumn id="2" xr3:uid="{00000000-0010-0000-0200-000002000000}" name="OrderDate" dataDxfId="1"/>
    <tableColumn id="3" xr3:uid="{00000000-0010-0000-0200-000003000000}" name="CustomerID"/>
    <tableColumn id="4" xr3:uid="{00000000-0010-0000-0200-000004000000}" name="Status"/>
    <tableColumn id="5" xr3:uid="{00000000-0010-0000-0200-000005000000}" name="PaymentStatus"/>
    <tableColumn id="6" xr3:uid="{00000000-0010-0000-0200-000006000000}" name="ExpectedDelivery" dataDxfId="0"/>
    <tableColumn id="7" xr3:uid="{00000000-0010-0000-0200-000007000000}" name="Currency"/>
    <tableColumn id="8" xr3:uid="{00000000-0010-0000-0200-000008000000}" name="Total"/>
    <tableColumn id="9" xr3:uid="{00000000-0010-0000-0200-000009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rderLines" displayName="tblOrderLines" ref="A1:F714">
  <autoFilter ref="A1:F714" xr:uid="{00000000-0009-0000-0100-000004000000}"/>
  <tableColumns count="6">
    <tableColumn id="1" xr3:uid="{00000000-0010-0000-0300-000001000000}" name="LineID"/>
    <tableColumn id="2" xr3:uid="{00000000-0010-0000-0300-000002000000}" name="OrderID"/>
    <tableColumn id="3" xr3:uid="{00000000-0010-0000-0300-000003000000}" name="ProductID"/>
    <tableColumn id="4" xr3:uid="{00000000-0010-0000-0300-000004000000}" name="Qty"/>
    <tableColumn id="5" xr3:uid="{00000000-0010-0000-0300-000005000000}" name="UnitPrice" dataDxfId="6"/>
    <tableColumn id="6" xr3:uid="{00000000-0010-0000-0300-000006000000}" name="LineTotal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defaultRowHeight="15" x14ac:dyDescent="0.25"/>
  <cols>
    <col min="1" max="1" width="110" customWidth="1"/>
  </cols>
  <sheetData>
    <row r="1" spans="1:1" ht="21" customHeight="1" x14ac:dyDescent="0.35">
      <c r="A1" s="1" t="s">
        <v>311</v>
      </c>
    </row>
    <row r="3" spans="1:1" x14ac:dyDescent="0.25">
      <c r="A3" s="2" t="s">
        <v>312</v>
      </c>
    </row>
    <row r="4" spans="1:1" x14ac:dyDescent="0.25">
      <c r="A4" t="s">
        <v>313</v>
      </c>
    </row>
    <row r="6" spans="1:1" x14ac:dyDescent="0.25">
      <c r="A6" s="2" t="s">
        <v>314</v>
      </c>
    </row>
    <row r="8" spans="1:1" x14ac:dyDescent="0.25">
      <c r="A8" s="3" t="s">
        <v>315</v>
      </c>
    </row>
    <row r="9" spans="1:1" x14ac:dyDescent="0.25">
      <c r="A9" s="3" t="s">
        <v>316</v>
      </c>
    </row>
    <row r="10" spans="1:1" x14ac:dyDescent="0.25">
      <c r="A10" s="3" t="s">
        <v>317</v>
      </c>
    </row>
    <row r="11" spans="1:1" x14ac:dyDescent="0.25">
      <c r="A11" s="3" t="s">
        <v>318</v>
      </c>
    </row>
    <row r="12" spans="1:1" x14ac:dyDescent="0.25">
      <c r="A12" s="3" t="s">
        <v>319</v>
      </c>
    </row>
    <row r="13" spans="1:1" x14ac:dyDescent="0.25">
      <c r="A13" s="3" t="s">
        <v>320</v>
      </c>
    </row>
    <row r="15" spans="1:1" x14ac:dyDescent="0.25">
      <c r="A15" s="2" t="s">
        <v>321</v>
      </c>
    </row>
    <row r="16" spans="1:1" x14ac:dyDescent="0.25">
      <c r="A16" t="s">
        <v>322</v>
      </c>
    </row>
    <row r="17" spans="1:1" x14ac:dyDescent="0.25">
      <c r="A17" t="s">
        <v>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workbookViewId="0">
      <pane ySplit="1" topLeftCell="A2" activePane="bottomLeft" state="frozen"/>
      <selection pane="bottomLeft" activeCell="H17" sqref="H17"/>
    </sheetView>
  </sheetViews>
  <sheetFormatPr defaultRowHeight="15" x14ac:dyDescent="0.25"/>
  <cols>
    <col min="1" max="1" width="16.7109375" customWidth="1"/>
    <col min="2" max="3" width="28" customWidth="1"/>
    <col min="4" max="4" width="14" customWidth="1"/>
    <col min="5" max="5" width="16" customWidth="1"/>
  </cols>
  <sheetData>
    <row r="1" spans="1:5" ht="20.100000000000001" customHeight="1" x14ac:dyDescent="0.25">
      <c r="A1" s="4" t="s">
        <v>324</v>
      </c>
      <c r="B1" s="4" t="s">
        <v>325</v>
      </c>
      <c r="C1" s="4" t="s">
        <v>326</v>
      </c>
      <c r="D1" s="4" t="s">
        <v>327</v>
      </c>
      <c r="E1" s="4" t="s">
        <v>328</v>
      </c>
    </row>
    <row r="2" spans="1:5" x14ac:dyDescent="0.25">
      <c r="A2" s="5" t="s">
        <v>329</v>
      </c>
      <c r="B2" s="5" t="s">
        <v>330</v>
      </c>
      <c r="C2" s="5" t="s">
        <v>331</v>
      </c>
      <c r="D2" s="5" t="s">
        <v>332</v>
      </c>
      <c r="E2" s="5" t="s">
        <v>333</v>
      </c>
    </row>
    <row r="3" spans="1:5" x14ac:dyDescent="0.25">
      <c r="A3" s="5" t="s">
        <v>334</v>
      </c>
      <c r="B3" s="5" t="s">
        <v>335</v>
      </c>
      <c r="C3" s="5" t="s">
        <v>336</v>
      </c>
      <c r="D3" s="5" t="s">
        <v>332</v>
      </c>
      <c r="E3" s="5" t="s">
        <v>337</v>
      </c>
    </row>
    <row r="4" spans="1:5" x14ac:dyDescent="0.25">
      <c r="A4" s="5" t="s">
        <v>338</v>
      </c>
      <c r="B4" s="5" t="s">
        <v>339</v>
      </c>
      <c r="C4" s="5" t="s">
        <v>340</v>
      </c>
      <c r="D4" s="5" t="s">
        <v>341</v>
      </c>
      <c r="E4" s="5" t="s">
        <v>342</v>
      </c>
    </row>
    <row r="5" spans="1:5" x14ac:dyDescent="0.25">
      <c r="A5" t="s">
        <v>343</v>
      </c>
      <c r="B5" t="s">
        <v>344</v>
      </c>
      <c r="C5" t="s">
        <v>345</v>
      </c>
      <c r="D5" t="s">
        <v>332</v>
      </c>
      <c r="E5" t="s">
        <v>333</v>
      </c>
    </row>
    <row r="6" spans="1:5" x14ac:dyDescent="0.25">
      <c r="A6" t="s">
        <v>346</v>
      </c>
      <c r="B6" t="s">
        <v>347</v>
      </c>
      <c r="C6" t="s">
        <v>348</v>
      </c>
      <c r="D6" t="s">
        <v>341</v>
      </c>
      <c r="E6" t="s">
        <v>349</v>
      </c>
    </row>
    <row r="7" spans="1:5" x14ac:dyDescent="0.25">
      <c r="A7" t="s">
        <v>350</v>
      </c>
      <c r="B7" t="s">
        <v>351</v>
      </c>
      <c r="C7" t="s">
        <v>352</v>
      </c>
      <c r="D7" t="s">
        <v>353</v>
      </c>
      <c r="E7" t="s">
        <v>354</v>
      </c>
    </row>
    <row r="8" spans="1:5" x14ac:dyDescent="0.25">
      <c r="A8" t="s">
        <v>355</v>
      </c>
      <c r="B8" t="s">
        <v>356</v>
      </c>
      <c r="C8" t="s">
        <v>357</v>
      </c>
      <c r="D8" t="s">
        <v>358</v>
      </c>
      <c r="E8" t="s">
        <v>342</v>
      </c>
    </row>
    <row r="9" spans="1:5" x14ac:dyDescent="0.25">
      <c r="A9" t="s">
        <v>359</v>
      </c>
      <c r="B9" t="s">
        <v>360</v>
      </c>
      <c r="C9" t="s">
        <v>361</v>
      </c>
      <c r="D9" t="s">
        <v>332</v>
      </c>
      <c r="E9" t="s">
        <v>362</v>
      </c>
    </row>
    <row r="10" spans="1:5" x14ac:dyDescent="0.25">
      <c r="A10" t="s">
        <v>363</v>
      </c>
      <c r="B10" t="s">
        <v>364</v>
      </c>
      <c r="C10" t="s">
        <v>365</v>
      </c>
      <c r="D10" t="s">
        <v>366</v>
      </c>
      <c r="E10" t="s">
        <v>337</v>
      </c>
    </row>
    <row r="11" spans="1:5" x14ac:dyDescent="0.25">
      <c r="A11" t="s">
        <v>367</v>
      </c>
      <c r="B11" t="s">
        <v>368</v>
      </c>
      <c r="C11" t="s">
        <v>369</v>
      </c>
      <c r="D11" t="s">
        <v>370</v>
      </c>
      <c r="E11" t="s">
        <v>371</v>
      </c>
    </row>
    <row r="12" spans="1:5" x14ac:dyDescent="0.25">
      <c r="A12" t="s">
        <v>372</v>
      </c>
      <c r="B12" t="s">
        <v>373</v>
      </c>
      <c r="C12" t="s">
        <v>374</v>
      </c>
      <c r="D12" t="s">
        <v>332</v>
      </c>
      <c r="E12" t="s">
        <v>375</v>
      </c>
    </row>
    <row r="13" spans="1:5" x14ac:dyDescent="0.25">
      <c r="A13" t="s">
        <v>376</v>
      </c>
      <c r="B13" t="s">
        <v>377</v>
      </c>
      <c r="C13" t="s">
        <v>378</v>
      </c>
      <c r="D13" t="s">
        <v>379</v>
      </c>
      <c r="E13" t="s">
        <v>380</v>
      </c>
    </row>
    <row r="14" spans="1:5" x14ac:dyDescent="0.25">
      <c r="A14" t="s">
        <v>381</v>
      </c>
      <c r="B14" t="s">
        <v>382</v>
      </c>
      <c r="C14" t="s">
        <v>383</v>
      </c>
      <c r="D14" t="s">
        <v>384</v>
      </c>
      <c r="E14" t="s">
        <v>333</v>
      </c>
    </row>
    <row r="15" spans="1:5" x14ac:dyDescent="0.25">
      <c r="A15" t="s">
        <v>385</v>
      </c>
      <c r="B15" t="s">
        <v>386</v>
      </c>
      <c r="C15" t="s">
        <v>387</v>
      </c>
      <c r="D15" t="s">
        <v>341</v>
      </c>
      <c r="E15" t="s">
        <v>342</v>
      </c>
    </row>
    <row r="16" spans="1:5" x14ac:dyDescent="0.25">
      <c r="A16" t="s">
        <v>388</v>
      </c>
      <c r="B16" t="s">
        <v>389</v>
      </c>
      <c r="C16" t="s">
        <v>390</v>
      </c>
      <c r="D16" t="s">
        <v>332</v>
      </c>
      <c r="E16" t="s">
        <v>391</v>
      </c>
    </row>
    <row r="17" spans="1:5" x14ac:dyDescent="0.25">
      <c r="A17" t="s">
        <v>392</v>
      </c>
      <c r="B17" t="s">
        <v>393</v>
      </c>
      <c r="C17" t="s">
        <v>394</v>
      </c>
      <c r="D17" t="s">
        <v>366</v>
      </c>
      <c r="E17" t="s">
        <v>337</v>
      </c>
    </row>
    <row r="18" spans="1:5" x14ac:dyDescent="0.25">
      <c r="A18" t="s">
        <v>395</v>
      </c>
      <c r="B18" t="s">
        <v>396</v>
      </c>
      <c r="C18" t="s">
        <v>397</v>
      </c>
      <c r="D18" t="s">
        <v>398</v>
      </c>
      <c r="E18" t="s">
        <v>399</v>
      </c>
    </row>
    <row r="19" spans="1:5" x14ac:dyDescent="0.25">
      <c r="A19" t="s">
        <v>400</v>
      </c>
      <c r="B19" t="s">
        <v>401</v>
      </c>
      <c r="C19" t="s">
        <v>402</v>
      </c>
      <c r="D19" t="s">
        <v>332</v>
      </c>
      <c r="E19" t="s">
        <v>403</v>
      </c>
    </row>
    <row r="20" spans="1:5" x14ac:dyDescent="0.25">
      <c r="A20" t="s">
        <v>404</v>
      </c>
      <c r="B20" t="s">
        <v>405</v>
      </c>
      <c r="C20" t="s">
        <v>406</v>
      </c>
      <c r="D20" t="s">
        <v>358</v>
      </c>
      <c r="E20" t="s">
        <v>342</v>
      </c>
    </row>
    <row r="21" spans="1:5" x14ac:dyDescent="0.25">
      <c r="A21" t="s">
        <v>407</v>
      </c>
      <c r="B21" t="s">
        <v>408</v>
      </c>
      <c r="C21" t="s">
        <v>409</v>
      </c>
      <c r="D21" t="s">
        <v>410</v>
      </c>
      <c r="E21" t="s">
        <v>362</v>
      </c>
    </row>
    <row r="22" spans="1:5" x14ac:dyDescent="0.25">
      <c r="A22" t="s">
        <v>411</v>
      </c>
      <c r="B22" t="s">
        <v>412</v>
      </c>
      <c r="C22" t="s">
        <v>413</v>
      </c>
      <c r="D22" t="s">
        <v>332</v>
      </c>
      <c r="E22" t="s">
        <v>414</v>
      </c>
    </row>
    <row r="23" spans="1:5" x14ac:dyDescent="0.25">
      <c r="A23" t="s">
        <v>415</v>
      </c>
      <c r="B23" t="s">
        <v>416</v>
      </c>
      <c r="C23" t="s">
        <v>417</v>
      </c>
      <c r="D23" t="s">
        <v>379</v>
      </c>
      <c r="E23" t="s">
        <v>418</v>
      </c>
    </row>
    <row r="24" spans="1:5" x14ac:dyDescent="0.25">
      <c r="A24" t="s">
        <v>419</v>
      </c>
      <c r="B24" t="s">
        <v>420</v>
      </c>
      <c r="C24" t="s">
        <v>421</v>
      </c>
      <c r="D24" t="s">
        <v>341</v>
      </c>
      <c r="E24" t="s">
        <v>422</v>
      </c>
    </row>
    <row r="25" spans="1:5" x14ac:dyDescent="0.25">
      <c r="A25" t="s">
        <v>423</v>
      </c>
      <c r="B25" t="s">
        <v>424</v>
      </c>
      <c r="C25" t="s">
        <v>425</v>
      </c>
      <c r="D25" t="s">
        <v>384</v>
      </c>
      <c r="E25" t="s">
        <v>426</v>
      </c>
    </row>
    <row r="26" spans="1:5" x14ac:dyDescent="0.25">
      <c r="A26" t="s">
        <v>427</v>
      </c>
      <c r="B26" t="s">
        <v>428</v>
      </c>
      <c r="C26" t="s">
        <v>429</v>
      </c>
      <c r="D26" t="s">
        <v>332</v>
      </c>
      <c r="E26" t="s">
        <v>430</v>
      </c>
    </row>
    <row r="27" spans="1:5" x14ac:dyDescent="0.25">
      <c r="A27" t="s">
        <v>431</v>
      </c>
      <c r="B27" t="s">
        <v>432</v>
      </c>
      <c r="C27" t="s">
        <v>433</v>
      </c>
      <c r="D27" t="s">
        <v>370</v>
      </c>
      <c r="E27" t="s">
        <v>375</v>
      </c>
    </row>
    <row r="28" spans="1:5" x14ac:dyDescent="0.25">
      <c r="A28" t="s">
        <v>434</v>
      </c>
      <c r="B28" t="s">
        <v>435</v>
      </c>
      <c r="C28" t="s">
        <v>436</v>
      </c>
      <c r="D28" t="s">
        <v>366</v>
      </c>
      <c r="E28" t="s">
        <v>349</v>
      </c>
    </row>
    <row r="29" spans="1:5" x14ac:dyDescent="0.25">
      <c r="A29" t="s">
        <v>437</v>
      </c>
      <c r="B29" t="s">
        <v>438</v>
      </c>
      <c r="C29" t="s">
        <v>439</v>
      </c>
      <c r="D29" t="s">
        <v>353</v>
      </c>
      <c r="E29" t="s">
        <v>440</v>
      </c>
    </row>
    <row r="30" spans="1:5" x14ac:dyDescent="0.25">
      <c r="A30" t="s">
        <v>441</v>
      </c>
      <c r="B30" t="s">
        <v>442</v>
      </c>
      <c r="C30" t="s">
        <v>443</v>
      </c>
      <c r="D30" t="s">
        <v>332</v>
      </c>
      <c r="E30" t="s">
        <v>342</v>
      </c>
    </row>
    <row r="31" spans="1:5" x14ac:dyDescent="0.25">
      <c r="A31" t="s">
        <v>444</v>
      </c>
      <c r="B31" t="s">
        <v>445</v>
      </c>
      <c r="C31" t="s">
        <v>446</v>
      </c>
      <c r="D31" t="s">
        <v>358</v>
      </c>
      <c r="E31" t="s">
        <v>337</v>
      </c>
    </row>
    <row r="32" spans="1:5" x14ac:dyDescent="0.25">
      <c r="A32" t="s">
        <v>447</v>
      </c>
      <c r="B32" t="s">
        <v>448</v>
      </c>
      <c r="C32" t="s">
        <v>449</v>
      </c>
      <c r="D32" t="s">
        <v>398</v>
      </c>
      <c r="E32" t="s">
        <v>450</v>
      </c>
    </row>
    <row r="33" spans="1:5" x14ac:dyDescent="0.25">
      <c r="A33" t="s">
        <v>451</v>
      </c>
      <c r="B33" t="s">
        <v>452</v>
      </c>
      <c r="C33" t="s">
        <v>453</v>
      </c>
      <c r="D33" t="s">
        <v>332</v>
      </c>
      <c r="E33" t="s">
        <v>454</v>
      </c>
    </row>
    <row r="34" spans="1:5" x14ac:dyDescent="0.25">
      <c r="A34" t="s">
        <v>455</v>
      </c>
      <c r="B34" t="s">
        <v>456</v>
      </c>
      <c r="C34" t="s">
        <v>457</v>
      </c>
      <c r="D34" t="s">
        <v>341</v>
      </c>
      <c r="E34" t="s">
        <v>399</v>
      </c>
    </row>
    <row r="35" spans="1:5" x14ac:dyDescent="0.25">
      <c r="A35" t="s">
        <v>458</v>
      </c>
      <c r="B35" t="s">
        <v>459</v>
      </c>
      <c r="C35" t="s">
        <v>460</v>
      </c>
      <c r="D35" t="s">
        <v>370</v>
      </c>
      <c r="E35" t="s">
        <v>461</v>
      </c>
    </row>
    <row r="36" spans="1:5" x14ac:dyDescent="0.25">
      <c r="A36" t="s">
        <v>462</v>
      </c>
      <c r="B36" t="s">
        <v>463</v>
      </c>
      <c r="C36" t="s">
        <v>464</v>
      </c>
      <c r="D36" t="s">
        <v>332</v>
      </c>
      <c r="E36" t="s">
        <v>465</v>
      </c>
    </row>
    <row r="37" spans="1:5" x14ac:dyDescent="0.25">
      <c r="A37" t="s">
        <v>466</v>
      </c>
      <c r="B37" t="s">
        <v>467</v>
      </c>
      <c r="C37" t="s">
        <v>468</v>
      </c>
      <c r="D37" t="s">
        <v>379</v>
      </c>
      <c r="E37" t="s">
        <v>349</v>
      </c>
    </row>
    <row r="38" spans="1:5" x14ac:dyDescent="0.25">
      <c r="A38" t="s">
        <v>469</v>
      </c>
      <c r="B38" t="s">
        <v>470</v>
      </c>
      <c r="C38" t="s">
        <v>471</v>
      </c>
      <c r="D38" t="s">
        <v>384</v>
      </c>
      <c r="E38" t="s">
        <v>472</v>
      </c>
    </row>
    <row r="39" spans="1:5" x14ac:dyDescent="0.25">
      <c r="A39" t="s">
        <v>473</v>
      </c>
      <c r="B39" t="s">
        <v>474</v>
      </c>
      <c r="C39" t="s">
        <v>475</v>
      </c>
      <c r="D39" t="s">
        <v>332</v>
      </c>
      <c r="E39" t="s">
        <v>362</v>
      </c>
    </row>
    <row r="40" spans="1:5" x14ac:dyDescent="0.25">
      <c r="A40" t="s">
        <v>476</v>
      </c>
      <c r="B40" t="s">
        <v>477</v>
      </c>
      <c r="C40" t="s">
        <v>478</v>
      </c>
      <c r="D40" t="s">
        <v>366</v>
      </c>
      <c r="E40" t="s">
        <v>342</v>
      </c>
    </row>
    <row r="41" spans="1:5" x14ac:dyDescent="0.25">
      <c r="A41" t="s">
        <v>479</v>
      </c>
      <c r="B41" t="s">
        <v>480</v>
      </c>
      <c r="C41" t="s">
        <v>481</v>
      </c>
      <c r="D41" t="s">
        <v>482</v>
      </c>
      <c r="E41" t="s">
        <v>337</v>
      </c>
    </row>
    <row r="42" spans="1:5" x14ac:dyDescent="0.25">
      <c r="A42" t="s">
        <v>483</v>
      </c>
      <c r="B42" t="s">
        <v>484</v>
      </c>
      <c r="C42" t="s">
        <v>485</v>
      </c>
      <c r="D42" t="s">
        <v>332</v>
      </c>
      <c r="E42" t="s">
        <v>486</v>
      </c>
    </row>
    <row r="43" spans="1:5" x14ac:dyDescent="0.25">
      <c r="A43" t="s">
        <v>487</v>
      </c>
      <c r="B43" t="s">
        <v>488</v>
      </c>
      <c r="C43" t="s">
        <v>489</v>
      </c>
      <c r="D43" t="s">
        <v>358</v>
      </c>
      <c r="E43" t="s">
        <v>371</v>
      </c>
    </row>
    <row r="44" spans="1:5" x14ac:dyDescent="0.25">
      <c r="A44" t="s">
        <v>490</v>
      </c>
      <c r="B44" t="s">
        <v>491</v>
      </c>
      <c r="C44" t="s">
        <v>492</v>
      </c>
      <c r="D44" t="s">
        <v>341</v>
      </c>
      <c r="E44" t="s">
        <v>493</v>
      </c>
    </row>
    <row r="45" spans="1:5" x14ac:dyDescent="0.25">
      <c r="A45" t="s">
        <v>494</v>
      </c>
      <c r="B45" t="s">
        <v>495</v>
      </c>
      <c r="C45" t="s">
        <v>496</v>
      </c>
      <c r="D45" t="s">
        <v>353</v>
      </c>
      <c r="E45" t="s">
        <v>375</v>
      </c>
    </row>
    <row r="46" spans="1:5" x14ac:dyDescent="0.25">
      <c r="A46" t="s">
        <v>497</v>
      </c>
      <c r="B46" t="s">
        <v>498</v>
      </c>
      <c r="C46" t="s">
        <v>499</v>
      </c>
      <c r="D46" t="s">
        <v>332</v>
      </c>
      <c r="E46" t="s">
        <v>450</v>
      </c>
    </row>
    <row r="47" spans="1:5" x14ac:dyDescent="0.25">
      <c r="A47" t="s">
        <v>500</v>
      </c>
      <c r="B47" t="s">
        <v>501</v>
      </c>
      <c r="C47" t="s">
        <v>502</v>
      </c>
      <c r="D47" t="s">
        <v>384</v>
      </c>
      <c r="E47" t="s">
        <v>503</v>
      </c>
    </row>
    <row r="48" spans="1:5" x14ac:dyDescent="0.25">
      <c r="A48" t="s">
        <v>504</v>
      </c>
      <c r="B48" t="s">
        <v>505</v>
      </c>
      <c r="C48" t="s">
        <v>506</v>
      </c>
      <c r="D48" t="s">
        <v>379</v>
      </c>
      <c r="E48" t="s">
        <v>342</v>
      </c>
    </row>
    <row r="49" spans="1:5" x14ac:dyDescent="0.25">
      <c r="A49" t="s">
        <v>507</v>
      </c>
      <c r="B49" t="s">
        <v>508</v>
      </c>
      <c r="C49" t="s">
        <v>509</v>
      </c>
      <c r="D49" t="s">
        <v>332</v>
      </c>
      <c r="E49" t="s">
        <v>430</v>
      </c>
    </row>
    <row r="50" spans="1:5" x14ac:dyDescent="0.25">
      <c r="A50" t="s">
        <v>510</v>
      </c>
      <c r="B50" t="s">
        <v>511</v>
      </c>
      <c r="C50" t="s">
        <v>512</v>
      </c>
      <c r="D50" t="s">
        <v>513</v>
      </c>
      <c r="E50" t="s">
        <v>337</v>
      </c>
    </row>
    <row r="51" spans="1:5" x14ac:dyDescent="0.25">
      <c r="A51" t="s">
        <v>514</v>
      </c>
      <c r="B51" t="s">
        <v>515</v>
      </c>
      <c r="C51" t="s">
        <v>516</v>
      </c>
      <c r="D51" t="s">
        <v>332</v>
      </c>
      <c r="E51" t="s">
        <v>517</v>
      </c>
    </row>
    <row r="52" spans="1:5" x14ac:dyDescent="0.25">
      <c r="A52" t="s">
        <v>518</v>
      </c>
      <c r="B52" t="s">
        <v>519</v>
      </c>
      <c r="C52" t="s">
        <v>520</v>
      </c>
      <c r="D52" t="s">
        <v>366</v>
      </c>
      <c r="E52" t="s">
        <v>521</v>
      </c>
    </row>
    <row r="53" spans="1:5" x14ac:dyDescent="0.25">
      <c r="A53" t="s">
        <v>522</v>
      </c>
      <c r="B53" t="s">
        <v>523</v>
      </c>
      <c r="C53" t="s">
        <v>524</v>
      </c>
      <c r="D53" t="s">
        <v>341</v>
      </c>
      <c r="E53" t="s">
        <v>525</v>
      </c>
    </row>
    <row r="54" spans="1:5" x14ac:dyDescent="0.25">
      <c r="A54" t="s">
        <v>526</v>
      </c>
      <c r="B54" t="s">
        <v>527</v>
      </c>
      <c r="C54" t="s">
        <v>528</v>
      </c>
      <c r="D54" t="s">
        <v>332</v>
      </c>
      <c r="E54" t="s">
        <v>333</v>
      </c>
    </row>
    <row r="55" spans="1:5" x14ac:dyDescent="0.25">
      <c r="A55" t="s">
        <v>529</v>
      </c>
      <c r="B55" t="s">
        <v>530</v>
      </c>
      <c r="C55" t="s">
        <v>531</v>
      </c>
      <c r="D55" t="s">
        <v>532</v>
      </c>
      <c r="E55" t="s">
        <v>533</v>
      </c>
    </row>
    <row r="56" spans="1:5" x14ac:dyDescent="0.25">
      <c r="A56" t="s">
        <v>534</v>
      </c>
      <c r="B56" t="s">
        <v>535</v>
      </c>
      <c r="C56" t="s">
        <v>536</v>
      </c>
      <c r="D56" t="s">
        <v>537</v>
      </c>
      <c r="E56" t="s">
        <v>538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 activeCell="D2" sqref="D2:D6"/>
    </sheetView>
  </sheetViews>
  <sheetFormatPr defaultRowHeight="15" x14ac:dyDescent="0.25"/>
  <cols>
    <col min="1" max="1" width="14" customWidth="1"/>
    <col min="2" max="2" width="34" customWidth="1"/>
    <col min="3" max="3" width="18" customWidth="1"/>
    <col min="4" max="4" width="15.140625" customWidth="1"/>
    <col min="5" max="5" width="16.5703125" customWidth="1"/>
    <col min="6" max="6" width="16" customWidth="1"/>
  </cols>
  <sheetData>
    <row r="1" spans="1:6" ht="20.100000000000001" customHeight="1" x14ac:dyDescent="0.25">
      <c r="A1" s="4" t="s">
        <v>2</v>
      </c>
      <c r="B1" s="4" t="s">
        <v>539</v>
      </c>
      <c r="C1" s="4" t="s">
        <v>540</v>
      </c>
      <c r="D1" s="4" t="s">
        <v>4</v>
      </c>
      <c r="E1" s="4" t="s">
        <v>541</v>
      </c>
      <c r="F1" s="4" t="s">
        <v>542</v>
      </c>
    </row>
    <row r="2" spans="1:6" x14ac:dyDescent="0.25">
      <c r="A2" s="5" t="s">
        <v>9</v>
      </c>
      <c r="B2" s="5" t="s">
        <v>543</v>
      </c>
      <c r="C2" s="5" t="s">
        <v>544</v>
      </c>
      <c r="D2" s="12">
        <v>79.900000000000006</v>
      </c>
      <c r="E2" s="5" t="s">
        <v>545</v>
      </c>
      <c r="F2" s="5" t="s">
        <v>546</v>
      </c>
    </row>
    <row r="3" spans="1:6" x14ac:dyDescent="0.25">
      <c r="A3" s="5" t="s">
        <v>10</v>
      </c>
      <c r="B3" s="5" t="s">
        <v>547</v>
      </c>
      <c r="C3" s="5" t="s">
        <v>548</v>
      </c>
      <c r="D3" s="12">
        <v>9.5</v>
      </c>
      <c r="E3" s="5" t="s">
        <v>545</v>
      </c>
      <c r="F3" s="5" t="s">
        <v>546</v>
      </c>
    </row>
    <row r="4" spans="1:6" x14ac:dyDescent="0.25">
      <c r="A4" s="5" t="s">
        <v>13</v>
      </c>
      <c r="B4" s="5" t="s">
        <v>549</v>
      </c>
      <c r="C4" s="5" t="s">
        <v>550</v>
      </c>
      <c r="D4" s="12">
        <v>6.2</v>
      </c>
      <c r="E4" s="5" t="s">
        <v>545</v>
      </c>
      <c r="F4" s="5" t="s">
        <v>546</v>
      </c>
    </row>
    <row r="5" spans="1:6" x14ac:dyDescent="0.25">
      <c r="A5" s="5" t="s">
        <v>8</v>
      </c>
      <c r="B5" s="5" t="s">
        <v>551</v>
      </c>
      <c r="C5" s="5" t="s">
        <v>544</v>
      </c>
      <c r="D5" s="12">
        <v>2.4</v>
      </c>
      <c r="E5" s="5" t="s">
        <v>545</v>
      </c>
      <c r="F5" s="5" t="s">
        <v>546</v>
      </c>
    </row>
    <row r="6" spans="1:6" x14ac:dyDescent="0.25">
      <c r="A6" s="5" t="s">
        <v>7</v>
      </c>
      <c r="B6" s="5" t="s">
        <v>552</v>
      </c>
      <c r="C6" s="5" t="s">
        <v>544</v>
      </c>
      <c r="D6" s="12">
        <v>2.6</v>
      </c>
      <c r="E6" s="5" t="s">
        <v>545</v>
      </c>
      <c r="F6" s="5" t="s">
        <v>546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workbookViewId="0">
      <pane ySplit="1" topLeftCell="A43" activePane="bottomLeft" state="frozen"/>
      <selection pane="bottomLeft" activeCell="H75" sqref="H75"/>
    </sheetView>
  </sheetViews>
  <sheetFormatPr defaultRowHeight="15" x14ac:dyDescent="0.25"/>
  <cols>
    <col min="1" max="1" width="14" customWidth="1"/>
    <col min="2" max="2" width="15.28515625" customWidth="1"/>
    <col min="3" max="3" width="17.5703125" customWidth="1"/>
    <col min="4" max="4" width="14" customWidth="1"/>
    <col min="5" max="5" width="21.28515625" customWidth="1"/>
    <col min="6" max="6" width="22.7109375" customWidth="1"/>
    <col min="7" max="7" width="15.140625" customWidth="1"/>
    <col min="8" max="8" width="14" customWidth="1"/>
    <col min="9" max="9" width="49.28515625" bestFit="1" customWidth="1"/>
  </cols>
  <sheetData>
    <row r="1" spans="1:9" ht="20.100000000000001" customHeight="1" x14ac:dyDescent="0.25">
      <c r="A1" s="4" t="s">
        <v>1</v>
      </c>
      <c r="B1" s="4" t="s">
        <v>553</v>
      </c>
      <c r="C1" s="4" t="s">
        <v>324</v>
      </c>
      <c r="D1" s="4" t="s">
        <v>554</v>
      </c>
      <c r="E1" s="4" t="s">
        <v>555</v>
      </c>
      <c r="F1" s="4" t="s">
        <v>556</v>
      </c>
      <c r="G1" s="4" t="s">
        <v>541</v>
      </c>
      <c r="H1" s="4" t="s">
        <v>557</v>
      </c>
      <c r="I1" s="4" t="s">
        <v>321</v>
      </c>
    </row>
    <row r="2" spans="1:9" x14ac:dyDescent="0.25">
      <c r="A2" t="s">
        <v>67</v>
      </c>
      <c r="B2" s="11">
        <v>46030</v>
      </c>
      <c r="C2" t="s">
        <v>329</v>
      </c>
      <c r="D2" t="s">
        <v>558</v>
      </c>
      <c r="E2" t="s">
        <v>559</v>
      </c>
      <c r="F2" s="11">
        <v>46043</v>
      </c>
      <c r="G2" t="s">
        <v>545</v>
      </c>
      <c r="H2" t="s">
        <v>560</v>
      </c>
      <c r="I2" t="s">
        <v>561</v>
      </c>
    </row>
    <row r="3" spans="1:9" x14ac:dyDescent="0.25">
      <c r="A3" t="s">
        <v>114</v>
      </c>
      <c r="B3" s="11">
        <v>46009</v>
      </c>
      <c r="C3" t="s">
        <v>329</v>
      </c>
      <c r="D3" t="s">
        <v>562</v>
      </c>
      <c r="E3" t="s">
        <v>563</v>
      </c>
      <c r="F3" s="11">
        <v>46027</v>
      </c>
      <c r="G3" t="s">
        <v>545</v>
      </c>
      <c r="H3" t="s">
        <v>564</v>
      </c>
      <c r="I3" t="s">
        <v>565</v>
      </c>
    </row>
    <row r="4" spans="1:9" x14ac:dyDescent="0.25">
      <c r="A4" t="s">
        <v>155</v>
      </c>
      <c r="B4" s="11">
        <v>46049</v>
      </c>
      <c r="C4" t="s">
        <v>329</v>
      </c>
      <c r="D4" t="s">
        <v>562</v>
      </c>
      <c r="E4" t="s">
        <v>563</v>
      </c>
      <c r="F4" s="11">
        <v>46059</v>
      </c>
      <c r="G4" t="s">
        <v>545</v>
      </c>
      <c r="H4" t="s">
        <v>566</v>
      </c>
      <c r="I4" t="s">
        <v>565</v>
      </c>
    </row>
    <row r="5" spans="1:9" x14ac:dyDescent="0.25">
      <c r="A5" t="s">
        <v>29</v>
      </c>
      <c r="B5" s="11">
        <v>46023</v>
      </c>
      <c r="C5" t="s">
        <v>334</v>
      </c>
      <c r="D5" t="s">
        <v>558</v>
      </c>
      <c r="E5" t="s">
        <v>559</v>
      </c>
      <c r="F5" s="11">
        <v>46035</v>
      </c>
      <c r="G5" t="s">
        <v>545</v>
      </c>
      <c r="H5" t="s">
        <v>567</v>
      </c>
      <c r="I5" t="s">
        <v>561</v>
      </c>
    </row>
    <row r="6" spans="1:9" x14ac:dyDescent="0.25">
      <c r="A6" t="s">
        <v>185</v>
      </c>
      <c r="B6" s="11">
        <v>46040</v>
      </c>
      <c r="C6" t="s">
        <v>334</v>
      </c>
      <c r="D6" t="s">
        <v>568</v>
      </c>
      <c r="E6" t="s">
        <v>563</v>
      </c>
      <c r="F6" s="11">
        <v>46060</v>
      </c>
      <c r="G6" t="s">
        <v>545</v>
      </c>
      <c r="H6" t="s">
        <v>569</v>
      </c>
      <c r="I6" t="s">
        <v>565</v>
      </c>
    </row>
    <row r="7" spans="1:9" x14ac:dyDescent="0.25">
      <c r="A7" t="s">
        <v>195</v>
      </c>
      <c r="B7" s="11">
        <v>46005</v>
      </c>
      <c r="C7" t="s">
        <v>334</v>
      </c>
      <c r="D7" t="s">
        <v>570</v>
      </c>
      <c r="E7" t="s">
        <v>559</v>
      </c>
      <c r="F7" s="11">
        <v>46021</v>
      </c>
      <c r="G7" t="s">
        <v>545</v>
      </c>
      <c r="H7" t="s">
        <v>571</v>
      </c>
      <c r="I7" t="s">
        <v>572</v>
      </c>
    </row>
    <row r="8" spans="1:9" x14ac:dyDescent="0.25">
      <c r="A8" t="s">
        <v>283</v>
      </c>
      <c r="B8" s="11">
        <v>46042</v>
      </c>
      <c r="C8" t="s">
        <v>334</v>
      </c>
      <c r="D8" t="s">
        <v>568</v>
      </c>
      <c r="E8" t="s">
        <v>563</v>
      </c>
      <c r="F8" s="11">
        <v>46061</v>
      </c>
      <c r="G8" t="s">
        <v>545</v>
      </c>
      <c r="H8" t="s">
        <v>573</v>
      </c>
      <c r="I8" t="s">
        <v>565</v>
      </c>
    </row>
    <row r="9" spans="1:9" x14ac:dyDescent="0.25">
      <c r="A9" t="s">
        <v>304</v>
      </c>
      <c r="B9" s="11">
        <v>46046</v>
      </c>
      <c r="C9" t="s">
        <v>334</v>
      </c>
      <c r="D9" t="s">
        <v>570</v>
      </c>
      <c r="E9" t="s">
        <v>559</v>
      </c>
      <c r="F9" s="11">
        <v>46061</v>
      </c>
      <c r="G9" t="s">
        <v>545</v>
      </c>
      <c r="H9" t="s">
        <v>574</v>
      </c>
      <c r="I9" t="s">
        <v>561</v>
      </c>
    </row>
    <row r="10" spans="1:9" x14ac:dyDescent="0.25">
      <c r="A10" t="s">
        <v>154</v>
      </c>
      <c r="B10" s="11">
        <v>46009</v>
      </c>
      <c r="C10" t="s">
        <v>338</v>
      </c>
      <c r="D10" t="s">
        <v>562</v>
      </c>
      <c r="E10" t="s">
        <v>563</v>
      </c>
      <c r="F10" s="11">
        <v>46021</v>
      </c>
      <c r="G10" t="s">
        <v>545</v>
      </c>
      <c r="H10" t="s">
        <v>575</v>
      </c>
      <c r="I10" t="s">
        <v>565</v>
      </c>
    </row>
    <row r="11" spans="1:9" x14ac:dyDescent="0.25">
      <c r="A11" t="s">
        <v>164</v>
      </c>
      <c r="B11" s="11">
        <v>46043</v>
      </c>
      <c r="C11" t="s">
        <v>338</v>
      </c>
      <c r="D11" t="s">
        <v>562</v>
      </c>
      <c r="E11" t="s">
        <v>563</v>
      </c>
      <c r="F11" s="11">
        <v>46054</v>
      </c>
      <c r="G11" t="s">
        <v>545</v>
      </c>
      <c r="H11" t="s">
        <v>576</v>
      </c>
      <c r="I11" t="s">
        <v>565</v>
      </c>
    </row>
    <row r="12" spans="1:9" x14ac:dyDescent="0.25">
      <c r="A12" t="s">
        <v>210</v>
      </c>
      <c r="B12" s="11">
        <v>46013</v>
      </c>
      <c r="C12" t="s">
        <v>338</v>
      </c>
      <c r="D12" t="s">
        <v>562</v>
      </c>
      <c r="E12" t="s">
        <v>563</v>
      </c>
      <c r="F12" s="11">
        <v>46030</v>
      </c>
      <c r="G12" t="s">
        <v>545</v>
      </c>
      <c r="H12" t="s">
        <v>577</v>
      </c>
      <c r="I12" t="s">
        <v>565</v>
      </c>
    </row>
    <row r="13" spans="1:9" x14ac:dyDescent="0.25">
      <c r="A13" t="s">
        <v>41</v>
      </c>
      <c r="B13" s="11">
        <v>46018</v>
      </c>
      <c r="C13" t="s">
        <v>343</v>
      </c>
      <c r="D13" t="s">
        <v>568</v>
      </c>
      <c r="E13" t="s">
        <v>563</v>
      </c>
      <c r="F13" s="11">
        <v>46037</v>
      </c>
      <c r="G13" t="s">
        <v>545</v>
      </c>
      <c r="H13" t="s">
        <v>578</v>
      </c>
      <c r="I13" t="s">
        <v>565</v>
      </c>
    </row>
    <row r="14" spans="1:9" x14ac:dyDescent="0.25">
      <c r="A14" t="s">
        <v>124</v>
      </c>
      <c r="B14" s="11">
        <v>46046</v>
      </c>
      <c r="C14" t="s">
        <v>346</v>
      </c>
      <c r="D14" t="s">
        <v>568</v>
      </c>
      <c r="E14" t="s">
        <v>563</v>
      </c>
      <c r="F14" s="11">
        <v>46058</v>
      </c>
      <c r="G14" t="s">
        <v>545</v>
      </c>
      <c r="H14" t="s">
        <v>579</v>
      </c>
      <c r="I14" t="s">
        <v>565</v>
      </c>
    </row>
    <row r="15" spans="1:9" x14ac:dyDescent="0.25">
      <c r="A15" t="s">
        <v>151</v>
      </c>
      <c r="B15" s="11">
        <v>46024</v>
      </c>
      <c r="C15" t="s">
        <v>346</v>
      </c>
      <c r="D15" t="s">
        <v>568</v>
      </c>
      <c r="E15" t="s">
        <v>563</v>
      </c>
      <c r="F15" s="11">
        <v>46034</v>
      </c>
      <c r="G15" t="s">
        <v>545</v>
      </c>
      <c r="H15" t="s">
        <v>580</v>
      </c>
      <c r="I15" t="s">
        <v>565</v>
      </c>
    </row>
    <row r="16" spans="1:9" x14ac:dyDescent="0.25">
      <c r="A16" t="s">
        <v>152</v>
      </c>
      <c r="B16" s="11">
        <v>46039</v>
      </c>
      <c r="C16" t="s">
        <v>346</v>
      </c>
      <c r="D16" t="s">
        <v>568</v>
      </c>
      <c r="E16" t="s">
        <v>563</v>
      </c>
      <c r="F16" s="11">
        <v>46050</v>
      </c>
      <c r="G16" t="s">
        <v>545</v>
      </c>
      <c r="H16" t="s">
        <v>581</v>
      </c>
      <c r="I16" t="s">
        <v>565</v>
      </c>
    </row>
    <row r="17" spans="1:9" x14ac:dyDescent="0.25">
      <c r="A17" t="s">
        <v>224</v>
      </c>
      <c r="B17" s="11">
        <v>46009</v>
      </c>
      <c r="C17" t="s">
        <v>346</v>
      </c>
      <c r="D17" t="s">
        <v>562</v>
      </c>
      <c r="E17" t="s">
        <v>563</v>
      </c>
      <c r="F17" s="11">
        <v>46019</v>
      </c>
      <c r="G17" t="s">
        <v>545</v>
      </c>
      <c r="H17" t="s">
        <v>582</v>
      </c>
      <c r="I17" t="s">
        <v>565</v>
      </c>
    </row>
    <row r="18" spans="1:9" x14ac:dyDescent="0.25">
      <c r="A18" t="s">
        <v>243</v>
      </c>
      <c r="B18" s="11">
        <v>46033</v>
      </c>
      <c r="C18" t="s">
        <v>346</v>
      </c>
      <c r="D18" t="s">
        <v>558</v>
      </c>
      <c r="E18" t="s">
        <v>559</v>
      </c>
      <c r="F18" s="11">
        <v>46050</v>
      </c>
      <c r="G18" t="s">
        <v>545</v>
      </c>
      <c r="H18" t="s">
        <v>583</v>
      </c>
      <c r="I18" t="s">
        <v>561</v>
      </c>
    </row>
    <row r="19" spans="1:9" x14ac:dyDescent="0.25">
      <c r="A19" t="s">
        <v>289</v>
      </c>
      <c r="B19" s="11">
        <v>45992</v>
      </c>
      <c r="C19" t="s">
        <v>346</v>
      </c>
      <c r="D19" t="s">
        <v>558</v>
      </c>
      <c r="E19" t="s">
        <v>559</v>
      </c>
      <c r="F19" s="11">
        <v>46002</v>
      </c>
      <c r="G19" t="s">
        <v>545</v>
      </c>
      <c r="H19" t="s">
        <v>584</v>
      </c>
      <c r="I19" t="s">
        <v>561</v>
      </c>
    </row>
    <row r="20" spans="1:9" x14ac:dyDescent="0.25">
      <c r="A20" t="s">
        <v>310</v>
      </c>
      <c r="B20" s="11">
        <v>46035</v>
      </c>
      <c r="C20" t="s">
        <v>346</v>
      </c>
      <c r="D20" t="s">
        <v>568</v>
      </c>
      <c r="E20" t="s">
        <v>563</v>
      </c>
      <c r="F20" s="11">
        <v>46053</v>
      </c>
      <c r="G20" t="s">
        <v>545</v>
      </c>
      <c r="H20" t="s">
        <v>585</v>
      </c>
      <c r="I20" t="s">
        <v>565</v>
      </c>
    </row>
    <row r="21" spans="1:9" x14ac:dyDescent="0.25">
      <c r="A21" t="s">
        <v>19</v>
      </c>
      <c r="B21" s="11">
        <v>46034</v>
      </c>
      <c r="C21" t="s">
        <v>350</v>
      </c>
      <c r="D21" t="s">
        <v>568</v>
      </c>
      <c r="E21" t="s">
        <v>563</v>
      </c>
      <c r="F21" s="11">
        <v>46054</v>
      </c>
      <c r="G21" t="s">
        <v>545</v>
      </c>
      <c r="H21" t="s">
        <v>586</v>
      </c>
      <c r="I21" t="s">
        <v>565</v>
      </c>
    </row>
    <row r="22" spans="1:9" x14ac:dyDescent="0.25">
      <c r="A22" t="s">
        <v>69</v>
      </c>
      <c r="B22" s="11">
        <v>46024</v>
      </c>
      <c r="C22" t="s">
        <v>350</v>
      </c>
      <c r="D22" t="s">
        <v>558</v>
      </c>
      <c r="E22" t="s">
        <v>559</v>
      </c>
      <c r="F22" s="11">
        <v>46041</v>
      </c>
      <c r="G22" t="s">
        <v>545</v>
      </c>
      <c r="H22" t="s">
        <v>587</v>
      </c>
      <c r="I22" t="s">
        <v>561</v>
      </c>
    </row>
    <row r="23" spans="1:9" x14ac:dyDescent="0.25">
      <c r="A23" t="s">
        <v>76</v>
      </c>
      <c r="B23" s="11">
        <v>46005</v>
      </c>
      <c r="C23" t="s">
        <v>350</v>
      </c>
      <c r="D23" t="s">
        <v>562</v>
      </c>
      <c r="E23" t="s">
        <v>563</v>
      </c>
      <c r="F23" s="11">
        <v>46022</v>
      </c>
      <c r="G23" t="s">
        <v>545</v>
      </c>
      <c r="H23" t="s">
        <v>588</v>
      </c>
      <c r="I23" t="s">
        <v>565</v>
      </c>
    </row>
    <row r="24" spans="1:9" x14ac:dyDescent="0.25">
      <c r="A24" t="s">
        <v>99</v>
      </c>
      <c r="B24" s="11">
        <v>46014</v>
      </c>
      <c r="C24" t="s">
        <v>350</v>
      </c>
      <c r="D24" t="s">
        <v>562</v>
      </c>
      <c r="E24" t="s">
        <v>563</v>
      </c>
      <c r="F24" s="11">
        <v>46026</v>
      </c>
      <c r="G24" t="s">
        <v>545</v>
      </c>
      <c r="H24" t="s">
        <v>589</v>
      </c>
      <c r="I24" t="s">
        <v>565</v>
      </c>
    </row>
    <row r="25" spans="1:9" x14ac:dyDescent="0.25">
      <c r="A25" t="s">
        <v>217</v>
      </c>
      <c r="B25" s="11">
        <v>46037</v>
      </c>
      <c r="C25" t="s">
        <v>350</v>
      </c>
      <c r="D25" t="s">
        <v>558</v>
      </c>
      <c r="E25" t="s">
        <v>559</v>
      </c>
      <c r="F25" s="11">
        <v>46051</v>
      </c>
      <c r="G25" t="s">
        <v>545</v>
      </c>
      <c r="H25" t="s">
        <v>590</v>
      </c>
      <c r="I25" t="s">
        <v>561</v>
      </c>
    </row>
    <row r="26" spans="1:9" x14ac:dyDescent="0.25">
      <c r="A26" t="s">
        <v>267</v>
      </c>
      <c r="B26" s="11">
        <v>46034</v>
      </c>
      <c r="C26" t="s">
        <v>350</v>
      </c>
      <c r="D26" t="s">
        <v>558</v>
      </c>
      <c r="E26" t="s">
        <v>559</v>
      </c>
      <c r="F26" s="11">
        <v>46048</v>
      </c>
      <c r="G26" t="s">
        <v>545</v>
      </c>
      <c r="H26" t="s">
        <v>591</v>
      </c>
      <c r="I26" t="s">
        <v>561</v>
      </c>
    </row>
    <row r="27" spans="1:9" x14ac:dyDescent="0.25">
      <c r="A27" t="s">
        <v>268</v>
      </c>
      <c r="B27" s="11">
        <v>46011</v>
      </c>
      <c r="C27" t="s">
        <v>350</v>
      </c>
      <c r="D27" t="s">
        <v>558</v>
      </c>
      <c r="E27" t="s">
        <v>559</v>
      </c>
      <c r="F27" s="11">
        <v>46029</v>
      </c>
      <c r="G27" t="s">
        <v>545</v>
      </c>
      <c r="H27" t="s">
        <v>592</v>
      </c>
      <c r="I27" t="s">
        <v>561</v>
      </c>
    </row>
    <row r="28" spans="1:9" x14ac:dyDescent="0.25">
      <c r="A28" t="s">
        <v>11</v>
      </c>
      <c r="B28" s="11">
        <v>46001</v>
      </c>
      <c r="C28" t="s">
        <v>355</v>
      </c>
      <c r="D28" t="s">
        <v>570</v>
      </c>
      <c r="E28" t="s">
        <v>559</v>
      </c>
      <c r="F28" s="11">
        <v>46019</v>
      </c>
      <c r="G28" t="s">
        <v>545</v>
      </c>
      <c r="H28" t="s">
        <v>593</v>
      </c>
      <c r="I28" t="s">
        <v>594</v>
      </c>
    </row>
    <row r="29" spans="1:9" x14ac:dyDescent="0.25">
      <c r="A29" t="s">
        <v>15</v>
      </c>
      <c r="B29" s="11">
        <v>46008</v>
      </c>
      <c r="C29" t="s">
        <v>355</v>
      </c>
      <c r="D29" t="s">
        <v>558</v>
      </c>
      <c r="E29" t="s">
        <v>559</v>
      </c>
      <c r="F29" s="11">
        <v>46021</v>
      </c>
      <c r="G29" t="s">
        <v>545</v>
      </c>
      <c r="H29" t="s">
        <v>595</v>
      </c>
      <c r="I29" t="s">
        <v>561</v>
      </c>
    </row>
    <row r="30" spans="1:9" x14ac:dyDescent="0.25">
      <c r="A30" t="s">
        <v>49</v>
      </c>
      <c r="B30" s="11">
        <v>46007</v>
      </c>
      <c r="C30" t="s">
        <v>355</v>
      </c>
      <c r="D30" t="s">
        <v>562</v>
      </c>
      <c r="E30" t="s">
        <v>563</v>
      </c>
      <c r="F30" s="11">
        <v>46023</v>
      </c>
      <c r="G30" t="s">
        <v>545</v>
      </c>
      <c r="H30" t="s">
        <v>596</v>
      </c>
      <c r="I30" t="s">
        <v>565</v>
      </c>
    </row>
    <row r="31" spans="1:9" x14ac:dyDescent="0.25">
      <c r="A31" t="s">
        <v>65</v>
      </c>
      <c r="B31" s="11">
        <v>46028</v>
      </c>
      <c r="C31" t="s">
        <v>355</v>
      </c>
      <c r="D31" t="s">
        <v>568</v>
      </c>
      <c r="E31" t="s">
        <v>563</v>
      </c>
      <c r="F31" s="11">
        <v>46043</v>
      </c>
      <c r="G31" t="s">
        <v>545</v>
      </c>
      <c r="H31" t="s">
        <v>597</v>
      </c>
      <c r="I31" t="s">
        <v>565</v>
      </c>
    </row>
    <row r="32" spans="1:9" x14ac:dyDescent="0.25">
      <c r="A32" t="s">
        <v>213</v>
      </c>
      <c r="B32" s="11">
        <v>46034</v>
      </c>
      <c r="C32" t="s">
        <v>355</v>
      </c>
      <c r="D32" t="s">
        <v>568</v>
      </c>
      <c r="E32" t="s">
        <v>563</v>
      </c>
      <c r="F32" s="11">
        <v>46046</v>
      </c>
      <c r="G32" t="s">
        <v>545</v>
      </c>
      <c r="H32" t="s">
        <v>598</v>
      </c>
      <c r="I32" t="s">
        <v>565</v>
      </c>
    </row>
    <row r="33" spans="1:9" x14ac:dyDescent="0.25">
      <c r="A33" t="s">
        <v>241</v>
      </c>
      <c r="B33" s="11">
        <v>46017</v>
      </c>
      <c r="C33" t="s">
        <v>355</v>
      </c>
      <c r="D33" t="s">
        <v>558</v>
      </c>
      <c r="E33" t="s">
        <v>559</v>
      </c>
      <c r="F33" s="11">
        <v>46035</v>
      </c>
      <c r="G33" t="s">
        <v>545</v>
      </c>
      <c r="H33" t="s">
        <v>599</v>
      </c>
      <c r="I33" t="s">
        <v>561</v>
      </c>
    </row>
    <row r="34" spans="1:9" x14ac:dyDescent="0.25">
      <c r="A34" t="s">
        <v>57</v>
      </c>
      <c r="B34" s="11">
        <v>46040</v>
      </c>
      <c r="C34" t="s">
        <v>359</v>
      </c>
      <c r="D34" t="s">
        <v>558</v>
      </c>
      <c r="E34" t="s">
        <v>559</v>
      </c>
      <c r="F34" s="11">
        <v>46058</v>
      </c>
      <c r="G34" t="s">
        <v>545</v>
      </c>
      <c r="H34" t="s">
        <v>600</v>
      </c>
      <c r="I34" t="s">
        <v>601</v>
      </c>
    </row>
    <row r="35" spans="1:9" x14ac:dyDescent="0.25">
      <c r="A35" t="s">
        <v>63</v>
      </c>
      <c r="B35" s="11">
        <v>46040</v>
      </c>
      <c r="C35" t="s">
        <v>359</v>
      </c>
      <c r="D35" t="s">
        <v>562</v>
      </c>
      <c r="E35" t="s">
        <v>563</v>
      </c>
      <c r="F35" s="11">
        <v>46056</v>
      </c>
      <c r="G35" t="s">
        <v>545</v>
      </c>
      <c r="H35" t="s">
        <v>602</v>
      </c>
      <c r="I35" t="s">
        <v>565</v>
      </c>
    </row>
    <row r="36" spans="1:9" x14ac:dyDescent="0.25">
      <c r="A36" t="s">
        <v>94</v>
      </c>
      <c r="B36" s="11">
        <v>46009</v>
      </c>
      <c r="C36" t="s">
        <v>359</v>
      </c>
      <c r="D36" t="s">
        <v>570</v>
      </c>
      <c r="E36" t="s">
        <v>559</v>
      </c>
      <c r="F36" s="11">
        <v>46022</v>
      </c>
      <c r="G36" t="s">
        <v>545</v>
      </c>
      <c r="H36" t="s">
        <v>603</v>
      </c>
      <c r="I36" t="s">
        <v>604</v>
      </c>
    </row>
    <row r="37" spans="1:9" x14ac:dyDescent="0.25">
      <c r="A37" t="s">
        <v>214</v>
      </c>
      <c r="B37" s="11">
        <v>46037</v>
      </c>
      <c r="C37" t="s">
        <v>359</v>
      </c>
      <c r="D37" t="s">
        <v>570</v>
      </c>
      <c r="E37" t="s">
        <v>559</v>
      </c>
      <c r="F37" s="11">
        <v>46048</v>
      </c>
      <c r="G37" t="s">
        <v>545</v>
      </c>
      <c r="H37" t="s">
        <v>605</v>
      </c>
      <c r="I37" t="s">
        <v>561</v>
      </c>
    </row>
    <row r="38" spans="1:9" x14ac:dyDescent="0.25">
      <c r="A38" t="s">
        <v>251</v>
      </c>
      <c r="B38" s="11">
        <v>46029</v>
      </c>
      <c r="C38" t="s">
        <v>359</v>
      </c>
      <c r="D38" t="s">
        <v>558</v>
      </c>
      <c r="E38" t="s">
        <v>559</v>
      </c>
      <c r="F38" s="11">
        <v>46042</v>
      </c>
      <c r="G38" t="s">
        <v>545</v>
      </c>
      <c r="H38" t="s">
        <v>606</v>
      </c>
      <c r="I38" t="s">
        <v>561</v>
      </c>
    </row>
    <row r="39" spans="1:9" x14ac:dyDescent="0.25">
      <c r="A39" t="s">
        <v>269</v>
      </c>
      <c r="B39" s="11">
        <v>46004</v>
      </c>
      <c r="C39" t="s">
        <v>359</v>
      </c>
      <c r="D39" t="s">
        <v>570</v>
      </c>
      <c r="E39" t="s">
        <v>559</v>
      </c>
      <c r="F39" s="11">
        <v>46023</v>
      </c>
      <c r="G39" t="s">
        <v>545</v>
      </c>
      <c r="H39" t="s">
        <v>607</v>
      </c>
      <c r="I39" t="s">
        <v>561</v>
      </c>
    </row>
    <row r="40" spans="1:9" x14ac:dyDescent="0.25">
      <c r="A40" t="s">
        <v>277</v>
      </c>
      <c r="B40" s="11">
        <v>46027</v>
      </c>
      <c r="C40" t="s">
        <v>359</v>
      </c>
      <c r="D40" t="s">
        <v>568</v>
      </c>
      <c r="E40" t="s">
        <v>563</v>
      </c>
      <c r="F40" s="11">
        <v>46044</v>
      </c>
      <c r="G40" t="s">
        <v>545</v>
      </c>
      <c r="H40" t="s">
        <v>608</v>
      </c>
      <c r="I40" t="s">
        <v>565</v>
      </c>
    </row>
    <row r="41" spans="1:9" x14ac:dyDescent="0.25">
      <c r="A41" t="s">
        <v>97</v>
      </c>
      <c r="B41" s="11">
        <v>46049</v>
      </c>
      <c r="C41" t="s">
        <v>359</v>
      </c>
      <c r="D41" t="s">
        <v>568</v>
      </c>
      <c r="E41" t="s">
        <v>563</v>
      </c>
      <c r="F41" s="11">
        <v>46066</v>
      </c>
      <c r="G41" t="s">
        <v>545</v>
      </c>
      <c r="H41" t="s">
        <v>609</v>
      </c>
      <c r="I41" t="s">
        <v>565</v>
      </c>
    </row>
    <row r="42" spans="1:9" x14ac:dyDescent="0.25">
      <c r="A42" t="s">
        <v>117</v>
      </c>
      <c r="B42" s="11">
        <v>46014</v>
      </c>
      <c r="C42" t="s">
        <v>363</v>
      </c>
      <c r="D42" t="s">
        <v>568</v>
      </c>
      <c r="E42" t="s">
        <v>563</v>
      </c>
      <c r="F42" s="11">
        <v>46034</v>
      </c>
      <c r="G42" t="s">
        <v>545</v>
      </c>
      <c r="H42" t="s">
        <v>610</v>
      </c>
      <c r="I42" t="s">
        <v>565</v>
      </c>
    </row>
    <row r="43" spans="1:9" x14ac:dyDescent="0.25">
      <c r="A43" t="s">
        <v>126</v>
      </c>
      <c r="B43" s="11">
        <v>45994</v>
      </c>
      <c r="C43" t="s">
        <v>363</v>
      </c>
      <c r="D43" t="s">
        <v>558</v>
      </c>
      <c r="E43" t="s">
        <v>559</v>
      </c>
      <c r="F43" s="11">
        <v>46012</v>
      </c>
      <c r="G43" t="s">
        <v>545</v>
      </c>
      <c r="H43" t="s">
        <v>611</v>
      </c>
      <c r="I43" t="s">
        <v>561</v>
      </c>
    </row>
    <row r="44" spans="1:9" x14ac:dyDescent="0.25">
      <c r="A44" t="s">
        <v>198</v>
      </c>
      <c r="B44" s="11">
        <v>46031</v>
      </c>
      <c r="C44" t="s">
        <v>363</v>
      </c>
      <c r="D44" t="s">
        <v>558</v>
      </c>
      <c r="E44" t="s">
        <v>559</v>
      </c>
      <c r="F44" s="11">
        <v>46044</v>
      </c>
      <c r="G44" t="s">
        <v>545</v>
      </c>
      <c r="H44" t="s">
        <v>612</v>
      </c>
      <c r="I44" t="s">
        <v>561</v>
      </c>
    </row>
    <row r="45" spans="1:9" x14ac:dyDescent="0.25">
      <c r="A45" t="s">
        <v>235</v>
      </c>
      <c r="B45" s="11">
        <v>46030</v>
      </c>
      <c r="C45" t="s">
        <v>363</v>
      </c>
      <c r="D45" t="s">
        <v>558</v>
      </c>
      <c r="E45" t="s">
        <v>559</v>
      </c>
      <c r="F45" s="11">
        <v>46045</v>
      </c>
      <c r="G45" t="s">
        <v>545</v>
      </c>
      <c r="H45" t="s">
        <v>613</v>
      </c>
      <c r="I45" t="s">
        <v>561</v>
      </c>
    </row>
    <row r="46" spans="1:9" x14ac:dyDescent="0.25">
      <c r="A46" t="s">
        <v>261</v>
      </c>
      <c r="B46" s="11">
        <v>46040</v>
      </c>
      <c r="C46" t="s">
        <v>363</v>
      </c>
      <c r="D46" t="s">
        <v>562</v>
      </c>
      <c r="E46" t="s">
        <v>563</v>
      </c>
      <c r="F46" s="11">
        <v>46058</v>
      </c>
      <c r="G46" t="s">
        <v>545</v>
      </c>
      <c r="H46" t="s">
        <v>614</v>
      </c>
      <c r="I46" t="s">
        <v>565</v>
      </c>
    </row>
    <row r="47" spans="1:9" x14ac:dyDescent="0.25">
      <c r="A47" t="s">
        <v>275</v>
      </c>
      <c r="B47" s="11">
        <v>46014</v>
      </c>
      <c r="C47" t="s">
        <v>363</v>
      </c>
      <c r="D47" t="s">
        <v>568</v>
      </c>
      <c r="E47" t="s">
        <v>563</v>
      </c>
      <c r="F47" s="11">
        <v>46030</v>
      </c>
      <c r="G47" t="s">
        <v>545</v>
      </c>
      <c r="H47" t="s">
        <v>615</v>
      </c>
      <c r="I47" t="s">
        <v>565</v>
      </c>
    </row>
    <row r="48" spans="1:9" x14ac:dyDescent="0.25">
      <c r="A48" t="s">
        <v>61</v>
      </c>
      <c r="B48" s="11">
        <v>45998</v>
      </c>
      <c r="C48" t="s">
        <v>367</v>
      </c>
      <c r="D48" t="s">
        <v>568</v>
      </c>
      <c r="E48" t="s">
        <v>563</v>
      </c>
      <c r="F48" s="11">
        <v>46010</v>
      </c>
      <c r="G48" t="s">
        <v>545</v>
      </c>
      <c r="H48" t="s">
        <v>616</v>
      </c>
      <c r="I48" t="s">
        <v>565</v>
      </c>
    </row>
    <row r="49" spans="1:9" x14ac:dyDescent="0.25">
      <c r="A49" t="s">
        <v>82</v>
      </c>
      <c r="B49" s="11">
        <v>46029</v>
      </c>
      <c r="C49" t="s">
        <v>367</v>
      </c>
      <c r="D49" t="s">
        <v>558</v>
      </c>
      <c r="E49" t="s">
        <v>559</v>
      </c>
      <c r="F49" s="11">
        <v>46046</v>
      </c>
      <c r="G49" t="s">
        <v>545</v>
      </c>
      <c r="H49" t="s">
        <v>617</v>
      </c>
      <c r="I49" t="s">
        <v>561</v>
      </c>
    </row>
    <row r="50" spans="1:9" x14ac:dyDescent="0.25">
      <c r="A50" t="s">
        <v>106</v>
      </c>
      <c r="B50" s="11">
        <v>46043</v>
      </c>
      <c r="C50" t="s">
        <v>367</v>
      </c>
      <c r="D50" t="s">
        <v>570</v>
      </c>
      <c r="E50" t="s">
        <v>559</v>
      </c>
      <c r="F50" s="11">
        <v>46053</v>
      </c>
      <c r="G50" t="s">
        <v>545</v>
      </c>
      <c r="H50" t="s">
        <v>618</v>
      </c>
      <c r="I50" t="s">
        <v>561</v>
      </c>
    </row>
    <row r="51" spans="1:9" x14ac:dyDescent="0.25">
      <c r="A51" t="s">
        <v>116</v>
      </c>
      <c r="B51" s="11">
        <v>45992</v>
      </c>
      <c r="C51" t="s">
        <v>367</v>
      </c>
      <c r="D51" t="s">
        <v>562</v>
      </c>
      <c r="E51" t="s">
        <v>563</v>
      </c>
      <c r="F51" s="11">
        <v>46009</v>
      </c>
      <c r="G51" t="s">
        <v>545</v>
      </c>
      <c r="H51" t="s">
        <v>619</v>
      </c>
      <c r="I51" t="s">
        <v>565</v>
      </c>
    </row>
    <row r="52" spans="1:9" x14ac:dyDescent="0.25">
      <c r="A52" t="s">
        <v>125</v>
      </c>
      <c r="B52" s="11">
        <v>46023</v>
      </c>
      <c r="C52" t="s">
        <v>367</v>
      </c>
      <c r="D52" t="s">
        <v>558</v>
      </c>
      <c r="E52" t="s">
        <v>559</v>
      </c>
      <c r="F52" s="11">
        <v>46035</v>
      </c>
      <c r="G52" t="s">
        <v>545</v>
      </c>
      <c r="H52" t="s">
        <v>620</v>
      </c>
      <c r="I52" t="s">
        <v>561</v>
      </c>
    </row>
    <row r="53" spans="1:9" x14ac:dyDescent="0.25">
      <c r="A53" t="s">
        <v>218</v>
      </c>
      <c r="B53" s="11">
        <v>46007</v>
      </c>
      <c r="C53" t="s">
        <v>367</v>
      </c>
      <c r="D53" t="s">
        <v>570</v>
      </c>
      <c r="E53" t="s">
        <v>559</v>
      </c>
      <c r="F53" s="11">
        <v>46025</v>
      </c>
      <c r="G53" t="s">
        <v>545</v>
      </c>
      <c r="H53" t="s">
        <v>621</v>
      </c>
      <c r="I53" t="s">
        <v>561</v>
      </c>
    </row>
    <row r="54" spans="1:9" x14ac:dyDescent="0.25">
      <c r="A54" t="s">
        <v>252</v>
      </c>
      <c r="B54" s="11">
        <v>45999</v>
      </c>
      <c r="C54" t="s">
        <v>367</v>
      </c>
      <c r="D54" t="s">
        <v>562</v>
      </c>
      <c r="E54" t="s">
        <v>563</v>
      </c>
      <c r="F54" s="11">
        <v>46012</v>
      </c>
      <c r="G54" t="s">
        <v>545</v>
      </c>
      <c r="H54" t="s">
        <v>622</v>
      </c>
      <c r="I54" t="s">
        <v>565</v>
      </c>
    </row>
    <row r="55" spans="1:9" x14ac:dyDescent="0.25">
      <c r="A55" t="s">
        <v>32</v>
      </c>
      <c r="B55" s="11">
        <v>46009</v>
      </c>
      <c r="C55" t="s">
        <v>372</v>
      </c>
      <c r="D55" t="s">
        <v>568</v>
      </c>
      <c r="E55" t="s">
        <v>563</v>
      </c>
      <c r="F55" s="11">
        <v>46024</v>
      </c>
      <c r="G55" t="s">
        <v>545</v>
      </c>
      <c r="H55" t="s">
        <v>623</v>
      </c>
      <c r="I55" t="s">
        <v>565</v>
      </c>
    </row>
    <row r="56" spans="1:9" x14ac:dyDescent="0.25">
      <c r="A56" t="s">
        <v>142</v>
      </c>
      <c r="B56" s="11">
        <v>46051</v>
      </c>
      <c r="C56" t="s">
        <v>372</v>
      </c>
      <c r="D56" t="s">
        <v>562</v>
      </c>
      <c r="E56" t="s">
        <v>563</v>
      </c>
      <c r="F56" s="11">
        <v>46068</v>
      </c>
      <c r="G56" t="s">
        <v>545</v>
      </c>
      <c r="H56" t="s">
        <v>624</v>
      </c>
      <c r="I56" t="s">
        <v>565</v>
      </c>
    </row>
    <row r="57" spans="1:9" x14ac:dyDescent="0.25">
      <c r="A57" t="s">
        <v>71</v>
      </c>
      <c r="B57" s="11">
        <v>46033</v>
      </c>
      <c r="C57" t="s">
        <v>376</v>
      </c>
      <c r="D57" t="s">
        <v>568</v>
      </c>
      <c r="E57" t="s">
        <v>563</v>
      </c>
      <c r="F57" s="11">
        <v>46045</v>
      </c>
      <c r="G57" t="s">
        <v>545</v>
      </c>
      <c r="H57" t="s">
        <v>625</v>
      </c>
      <c r="I57" t="s">
        <v>565</v>
      </c>
    </row>
    <row r="58" spans="1:9" x14ac:dyDescent="0.25">
      <c r="A58" t="s">
        <v>88</v>
      </c>
      <c r="B58" s="11">
        <v>46029</v>
      </c>
      <c r="C58" t="s">
        <v>376</v>
      </c>
      <c r="D58" t="s">
        <v>570</v>
      </c>
      <c r="E58" t="s">
        <v>559</v>
      </c>
      <c r="F58" s="11">
        <v>46045</v>
      </c>
      <c r="G58" t="s">
        <v>545</v>
      </c>
      <c r="H58" t="s">
        <v>626</v>
      </c>
      <c r="I58" t="s">
        <v>627</v>
      </c>
    </row>
    <row r="59" spans="1:9" x14ac:dyDescent="0.25">
      <c r="A59" t="s">
        <v>104</v>
      </c>
      <c r="B59" s="11">
        <v>46027</v>
      </c>
      <c r="C59" t="s">
        <v>376</v>
      </c>
      <c r="D59" t="s">
        <v>562</v>
      </c>
      <c r="E59" t="s">
        <v>563</v>
      </c>
      <c r="F59" s="11">
        <v>46047</v>
      </c>
      <c r="G59" t="s">
        <v>545</v>
      </c>
      <c r="H59" t="s">
        <v>628</v>
      </c>
      <c r="I59" t="s">
        <v>565</v>
      </c>
    </row>
    <row r="60" spans="1:9" x14ac:dyDescent="0.25">
      <c r="A60" t="s">
        <v>110</v>
      </c>
      <c r="B60" s="11">
        <v>46036</v>
      </c>
      <c r="C60" t="s">
        <v>376</v>
      </c>
      <c r="D60" t="s">
        <v>570</v>
      </c>
      <c r="E60" t="s">
        <v>559</v>
      </c>
      <c r="F60" s="11">
        <v>46049</v>
      </c>
      <c r="G60" t="s">
        <v>545</v>
      </c>
      <c r="H60" t="s">
        <v>629</v>
      </c>
      <c r="I60" t="s">
        <v>561</v>
      </c>
    </row>
    <row r="61" spans="1:9" x14ac:dyDescent="0.25">
      <c r="A61" t="s">
        <v>115</v>
      </c>
      <c r="B61" s="11">
        <v>45997</v>
      </c>
      <c r="C61" t="s">
        <v>376</v>
      </c>
      <c r="D61" t="s">
        <v>568</v>
      </c>
      <c r="E61" t="s">
        <v>563</v>
      </c>
      <c r="F61" s="11">
        <v>46015</v>
      </c>
      <c r="G61" t="s">
        <v>545</v>
      </c>
      <c r="H61" t="s">
        <v>630</v>
      </c>
      <c r="I61" t="s">
        <v>565</v>
      </c>
    </row>
    <row r="62" spans="1:9" x14ac:dyDescent="0.25">
      <c r="A62" t="s">
        <v>208</v>
      </c>
      <c r="B62" s="11">
        <v>46046</v>
      </c>
      <c r="C62" t="s">
        <v>376</v>
      </c>
      <c r="D62" t="s">
        <v>558</v>
      </c>
      <c r="E62" t="s">
        <v>559</v>
      </c>
      <c r="F62" s="11">
        <v>46064</v>
      </c>
      <c r="G62" t="s">
        <v>545</v>
      </c>
      <c r="H62" t="s">
        <v>631</v>
      </c>
      <c r="I62" t="s">
        <v>632</v>
      </c>
    </row>
    <row r="63" spans="1:9" x14ac:dyDescent="0.25">
      <c r="A63" t="s">
        <v>211</v>
      </c>
      <c r="B63" s="11">
        <v>46042</v>
      </c>
      <c r="C63" t="s">
        <v>376</v>
      </c>
      <c r="D63" t="s">
        <v>568</v>
      </c>
      <c r="E63" t="s">
        <v>563</v>
      </c>
      <c r="F63" s="11">
        <v>46057</v>
      </c>
      <c r="G63" t="s">
        <v>545</v>
      </c>
      <c r="H63" t="s">
        <v>633</v>
      </c>
      <c r="I63" t="s">
        <v>565</v>
      </c>
    </row>
    <row r="64" spans="1:9" x14ac:dyDescent="0.25">
      <c r="A64" t="s">
        <v>227</v>
      </c>
      <c r="B64" s="11">
        <v>46043</v>
      </c>
      <c r="C64" t="s">
        <v>376</v>
      </c>
      <c r="D64" t="s">
        <v>568</v>
      </c>
      <c r="E64" t="s">
        <v>563</v>
      </c>
      <c r="F64" s="11">
        <v>46062</v>
      </c>
      <c r="G64" t="s">
        <v>545</v>
      </c>
      <c r="H64" t="s">
        <v>634</v>
      </c>
      <c r="I64" t="s">
        <v>565</v>
      </c>
    </row>
    <row r="65" spans="1:9" x14ac:dyDescent="0.25">
      <c r="A65" t="s">
        <v>237</v>
      </c>
      <c r="B65" s="11">
        <v>46012</v>
      </c>
      <c r="C65" t="s">
        <v>376</v>
      </c>
      <c r="D65" t="s">
        <v>568</v>
      </c>
      <c r="E65" t="s">
        <v>563</v>
      </c>
      <c r="F65" s="11">
        <v>46030</v>
      </c>
      <c r="G65" t="s">
        <v>545</v>
      </c>
      <c r="H65" t="s">
        <v>635</v>
      </c>
      <c r="I65" t="s">
        <v>565</v>
      </c>
    </row>
    <row r="66" spans="1:9" x14ac:dyDescent="0.25">
      <c r="A66" t="s">
        <v>299</v>
      </c>
      <c r="B66" s="11">
        <v>46000</v>
      </c>
      <c r="C66" t="s">
        <v>376</v>
      </c>
      <c r="D66" t="s">
        <v>570</v>
      </c>
      <c r="E66" t="s">
        <v>559</v>
      </c>
      <c r="F66" s="11">
        <v>46012</v>
      </c>
      <c r="G66" t="s">
        <v>545</v>
      </c>
      <c r="H66" t="s">
        <v>636</v>
      </c>
      <c r="I66" t="s">
        <v>561</v>
      </c>
    </row>
    <row r="67" spans="1:9" x14ac:dyDescent="0.25">
      <c r="A67" t="s">
        <v>118</v>
      </c>
      <c r="B67" s="11">
        <v>46014</v>
      </c>
      <c r="C67" t="s">
        <v>381</v>
      </c>
      <c r="D67" t="s">
        <v>558</v>
      </c>
      <c r="E67" t="s">
        <v>559</v>
      </c>
      <c r="F67" s="11">
        <v>46026</v>
      </c>
      <c r="G67" t="s">
        <v>545</v>
      </c>
      <c r="H67" t="s">
        <v>637</v>
      </c>
      <c r="I67" t="s">
        <v>638</v>
      </c>
    </row>
    <row r="68" spans="1:9" x14ac:dyDescent="0.25">
      <c r="A68" t="s">
        <v>156</v>
      </c>
      <c r="B68" s="11">
        <v>46034</v>
      </c>
      <c r="C68" t="s">
        <v>381</v>
      </c>
      <c r="D68" t="s">
        <v>558</v>
      </c>
      <c r="E68" t="s">
        <v>559</v>
      </c>
      <c r="F68" s="11">
        <v>46053</v>
      </c>
      <c r="G68" t="s">
        <v>545</v>
      </c>
      <c r="H68" t="s">
        <v>639</v>
      </c>
      <c r="I68" t="s">
        <v>561</v>
      </c>
    </row>
    <row r="69" spans="1:9" x14ac:dyDescent="0.25">
      <c r="A69" t="s">
        <v>205</v>
      </c>
      <c r="B69" s="11">
        <v>46016</v>
      </c>
      <c r="C69" t="s">
        <v>381</v>
      </c>
      <c r="D69" t="s">
        <v>568</v>
      </c>
      <c r="E69" t="s">
        <v>563</v>
      </c>
      <c r="F69" s="11">
        <v>46035</v>
      </c>
      <c r="G69" t="s">
        <v>545</v>
      </c>
      <c r="H69" t="s">
        <v>640</v>
      </c>
      <c r="I69" t="s">
        <v>565</v>
      </c>
    </row>
    <row r="70" spans="1:9" x14ac:dyDescent="0.25">
      <c r="A70" t="s">
        <v>290</v>
      </c>
      <c r="B70" s="11">
        <v>46003</v>
      </c>
      <c r="C70" t="s">
        <v>381</v>
      </c>
      <c r="D70" t="s">
        <v>570</v>
      </c>
      <c r="E70" t="s">
        <v>559</v>
      </c>
      <c r="F70" s="11">
        <v>46022</v>
      </c>
      <c r="G70" t="s">
        <v>545</v>
      </c>
      <c r="H70" t="s">
        <v>641</v>
      </c>
      <c r="I70" t="s">
        <v>561</v>
      </c>
    </row>
    <row r="71" spans="1:9" x14ac:dyDescent="0.25">
      <c r="A71" t="s">
        <v>31</v>
      </c>
      <c r="B71" s="11">
        <v>46045</v>
      </c>
      <c r="C71" t="s">
        <v>385</v>
      </c>
      <c r="D71" t="s">
        <v>568</v>
      </c>
      <c r="E71" t="s">
        <v>563</v>
      </c>
      <c r="F71" s="11">
        <v>46055</v>
      </c>
      <c r="G71" t="s">
        <v>545</v>
      </c>
      <c r="H71" t="s">
        <v>642</v>
      </c>
      <c r="I71" t="s">
        <v>565</v>
      </c>
    </row>
    <row r="72" spans="1:9" x14ac:dyDescent="0.25">
      <c r="A72" t="s">
        <v>45</v>
      </c>
      <c r="B72" s="11">
        <v>46001</v>
      </c>
      <c r="C72" t="s">
        <v>385</v>
      </c>
      <c r="D72" t="s">
        <v>570</v>
      </c>
      <c r="E72" t="s">
        <v>559</v>
      </c>
      <c r="F72" s="11">
        <v>46012</v>
      </c>
      <c r="G72" t="s">
        <v>545</v>
      </c>
      <c r="H72" t="s">
        <v>643</v>
      </c>
      <c r="I72" t="s">
        <v>561</v>
      </c>
    </row>
    <row r="73" spans="1:9" x14ac:dyDescent="0.25">
      <c r="A73" t="s">
        <v>77</v>
      </c>
      <c r="B73" s="11">
        <v>46020</v>
      </c>
      <c r="C73" t="s">
        <v>385</v>
      </c>
      <c r="D73" t="s">
        <v>570</v>
      </c>
      <c r="E73" t="s">
        <v>559</v>
      </c>
      <c r="F73" s="11">
        <v>46033</v>
      </c>
      <c r="G73" t="s">
        <v>545</v>
      </c>
      <c r="H73" t="s">
        <v>644</v>
      </c>
      <c r="I73" t="s">
        <v>561</v>
      </c>
    </row>
    <row r="74" spans="1:9" x14ac:dyDescent="0.25">
      <c r="A74" t="s">
        <v>120</v>
      </c>
      <c r="B74" s="11">
        <v>46041</v>
      </c>
      <c r="C74" t="s">
        <v>385</v>
      </c>
      <c r="D74" t="s">
        <v>568</v>
      </c>
      <c r="E74" t="s">
        <v>563</v>
      </c>
      <c r="F74" s="11">
        <v>46055</v>
      </c>
      <c r="G74" t="s">
        <v>545</v>
      </c>
      <c r="H74" t="s">
        <v>645</v>
      </c>
      <c r="I74" t="s">
        <v>565</v>
      </c>
    </row>
    <row r="75" spans="1:9" x14ac:dyDescent="0.25">
      <c r="A75" t="s">
        <v>127</v>
      </c>
      <c r="B75" s="11">
        <v>46009</v>
      </c>
      <c r="C75" t="s">
        <v>385</v>
      </c>
      <c r="D75" t="s">
        <v>562</v>
      </c>
      <c r="E75" t="s">
        <v>563</v>
      </c>
      <c r="F75" s="11">
        <v>46025</v>
      </c>
      <c r="G75" t="s">
        <v>545</v>
      </c>
      <c r="H75" t="s">
        <v>646</v>
      </c>
      <c r="I75" t="s">
        <v>565</v>
      </c>
    </row>
    <row r="76" spans="1:9" x14ac:dyDescent="0.25">
      <c r="A76" t="s">
        <v>131</v>
      </c>
      <c r="B76" s="11">
        <v>46025</v>
      </c>
      <c r="C76" t="s">
        <v>385</v>
      </c>
      <c r="D76" t="s">
        <v>562</v>
      </c>
      <c r="E76" t="s">
        <v>563</v>
      </c>
      <c r="F76" s="11">
        <v>46035</v>
      </c>
      <c r="G76" t="s">
        <v>545</v>
      </c>
      <c r="H76" t="s">
        <v>647</v>
      </c>
      <c r="I76" t="s">
        <v>565</v>
      </c>
    </row>
    <row r="77" spans="1:9" x14ac:dyDescent="0.25">
      <c r="A77" t="s">
        <v>189</v>
      </c>
      <c r="B77" s="11">
        <v>46024</v>
      </c>
      <c r="C77" t="s">
        <v>385</v>
      </c>
      <c r="D77" t="s">
        <v>558</v>
      </c>
      <c r="E77" t="s">
        <v>559</v>
      </c>
      <c r="F77" s="11">
        <v>46034</v>
      </c>
      <c r="G77" t="s">
        <v>545</v>
      </c>
      <c r="H77" t="s">
        <v>648</v>
      </c>
      <c r="I77" t="s">
        <v>561</v>
      </c>
    </row>
    <row r="78" spans="1:9" x14ac:dyDescent="0.25">
      <c r="A78" t="s">
        <v>207</v>
      </c>
      <c r="B78" s="11">
        <v>46042</v>
      </c>
      <c r="C78" t="s">
        <v>385</v>
      </c>
      <c r="D78" t="s">
        <v>558</v>
      </c>
      <c r="E78" t="s">
        <v>559</v>
      </c>
      <c r="F78" s="11">
        <v>46055</v>
      </c>
      <c r="G78" t="s">
        <v>545</v>
      </c>
      <c r="H78" t="s">
        <v>649</v>
      </c>
      <c r="I78" t="s">
        <v>650</v>
      </c>
    </row>
    <row r="79" spans="1:9" x14ac:dyDescent="0.25">
      <c r="A79" t="s">
        <v>51</v>
      </c>
      <c r="B79" s="11">
        <v>46042</v>
      </c>
      <c r="C79" t="s">
        <v>388</v>
      </c>
      <c r="D79" t="s">
        <v>562</v>
      </c>
      <c r="E79" t="s">
        <v>563</v>
      </c>
      <c r="F79" s="11">
        <v>46056</v>
      </c>
      <c r="G79" t="s">
        <v>545</v>
      </c>
      <c r="H79" t="s">
        <v>651</v>
      </c>
      <c r="I79" t="s">
        <v>565</v>
      </c>
    </row>
    <row r="80" spans="1:9" x14ac:dyDescent="0.25">
      <c r="A80" t="s">
        <v>216</v>
      </c>
      <c r="B80" s="11">
        <v>46001</v>
      </c>
      <c r="C80" t="s">
        <v>388</v>
      </c>
      <c r="D80" t="s">
        <v>568</v>
      </c>
      <c r="E80" t="s">
        <v>563</v>
      </c>
      <c r="F80" s="11">
        <v>46011</v>
      </c>
      <c r="G80" t="s">
        <v>545</v>
      </c>
      <c r="H80" t="s">
        <v>652</v>
      </c>
      <c r="I80" t="s">
        <v>565</v>
      </c>
    </row>
    <row r="81" spans="1:9" x14ac:dyDescent="0.25">
      <c r="A81" t="s">
        <v>221</v>
      </c>
      <c r="B81" s="11">
        <v>46044</v>
      </c>
      <c r="C81" t="s">
        <v>388</v>
      </c>
      <c r="D81" t="s">
        <v>562</v>
      </c>
      <c r="E81" t="s">
        <v>563</v>
      </c>
      <c r="F81" s="11">
        <v>46054</v>
      </c>
      <c r="G81" t="s">
        <v>545</v>
      </c>
      <c r="H81" t="s">
        <v>653</v>
      </c>
      <c r="I81" t="s">
        <v>565</v>
      </c>
    </row>
    <row r="82" spans="1:9" x14ac:dyDescent="0.25">
      <c r="A82" t="s">
        <v>24</v>
      </c>
      <c r="B82" s="11">
        <v>46016</v>
      </c>
      <c r="C82" t="s">
        <v>392</v>
      </c>
      <c r="D82" t="s">
        <v>562</v>
      </c>
      <c r="E82" t="s">
        <v>563</v>
      </c>
      <c r="F82" s="11">
        <v>46036</v>
      </c>
      <c r="G82" t="s">
        <v>545</v>
      </c>
      <c r="H82" t="s">
        <v>654</v>
      </c>
      <c r="I82" t="s">
        <v>565</v>
      </c>
    </row>
    <row r="83" spans="1:9" x14ac:dyDescent="0.25">
      <c r="A83" t="s">
        <v>33</v>
      </c>
      <c r="B83" s="11">
        <v>45993</v>
      </c>
      <c r="C83" t="s">
        <v>392</v>
      </c>
      <c r="D83" t="s">
        <v>568</v>
      </c>
      <c r="E83" t="s">
        <v>563</v>
      </c>
      <c r="F83" s="11">
        <v>46006</v>
      </c>
      <c r="G83" t="s">
        <v>545</v>
      </c>
      <c r="H83" t="s">
        <v>655</v>
      </c>
      <c r="I83" t="s">
        <v>565</v>
      </c>
    </row>
    <row r="84" spans="1:9" x14ac:dyDescent="0.25">
      <c r="A84" t="s">
        <v>72</v>
      </c>
      <c r="B84" s="11">
        <v>45993</v>
      </c>
      <c r="C84" t="s">
        <v>392</v>
      </c>
      <c r="D84" t="s">
        <v>558</v>
      </c>
      <c r="E84" t="s">
        <v>559</v>
      </c>
      <c r="F84" s="11">
        <v>46005</v>
      </c>
      <c r="G84" t="s">
        <v>545</v>
      </c>
      <c r="H84" t="s">
        <v>656</v>
      </c>
      <c r="I84" t="s">
        <v>561</v>
      </c>
    </row>
    <row r="85" spans="1:9" x14ac:dyDescent="0.25">
      <c r="A85" t="s">
        <v>81</v>
      </c>
      <c r="B85" s="11">
        <v>46047</v>
      </c>
      <c r="C85" t="s">
        <v>392</v>
      </c>
      <c r="D85" t="s">
        <v>568</v>
      </c>
      <c r="E85" t="s">
        <v>563</v>
      </c>
      <c r="F85" s="11">
        <v>46061</v>
      </c>
      <c r="G85" t="s">
        <v>545</v>
      </c>
      <c r="H85" t="s">
        <v>657</v>
      </c>
      <c r="I85" t="s">
        <v>565</v>
      </c>
    </row>
    <row r="86" spans="1:9" x14ac:dyDescent="0.25">
      <c r="A86" t="s">
        <v>143</v>
      </c>
      <c r="B86" s="11">
        <v>46007</v>
      </c>
      <c r="C86" t="s">
        <v>392</v>
      </c>
      <c r="D86" t="s">
        <v>570</v>
      </c>
      <c r="E86" t="s">
        <v>559</v>
      </c>
      <c r="F86" s="11">
        <v>46019</v>
      </c>
      <c r="G86" t="s">
        <v>545</v>
      </c>
      <c r="H86" t="s">
        <v>658</v>
      </c>
      <c r="I86" t="s">
        <v>561</v>
      </c>
    </row>
    <row r="87" spans="1:9" x14ac:dyDescent="0.25">
      <c r="A87" t="s">
        <v>182</v>
      </c>
      <c r="B87" s="11">
        <v>46049</v>
      </c>
      <c r="C87" t="s">
        <v>392</v>
      </c>
      <c r="D87" t="s">
        <v>558</v>
      </c>
      <c r="E87" t="s">
        <v>559</v>
      </c>
      <c r="F87" s="11">
        <v>46060</v>
      </c>
      <c r="G87" t="s">
        <v>545</v>
      </c>
      <c r="H87" t="s">
        <v>659</v>
      </c>
      <c r="I87" t="s">
        <v>561</v>
      </c>
    </row>
    <row r="88" spans="1:9" x14ac:dyDescent="0.25">
      <c r="A88" t="s">
        <v>288</v>
      </c>
      <c r="B88" s="11">
        <v>46039</v>
      </c>
      <c r="C88" t="s">
        <v>392</v>
      </c>
      <c r="D88" t="s">
        <v>558</v>
      </c>
      <c r="E88" t="s">
        <v>559</v>
      </c>
      <c r="F88" s="11">
        <v>46054</v>
      </c>
      <c r="G88" t="s">
        <v>545</v>
      </c>
      <c r="H88" t="s">
        <v>660</v>
      </c>
      <c r="I88" t="s">
        <v>561</v>
      </c>
    </row>
    <row r="89" spans="1:9" x14ac:dyDescent="0.25">
      <c r="A89" t="s">
        <v>39</v>
      </c>
      <c r="B89" s="11">
        <v>45993</v>
      </c>
      <c r="C89" t="s">
        <v>395</v>
      </c>
      <c r="D89" t="s">
        <v>568</v>
      </c>
      <c r="E89" t="s">
        <v>563</v>
      </c>
      <c r="F89" s="11">
        <v>46007</v>
      </c>
      <c r="G89" t="s">
        <v>545</v>
      </c>
      <c r="H89" t="s">
        <v>661</v>
      </c>
      <c r="I89" t="s">
        <v>565</v>
      </c>
    </row>
    <row r="90" spans="1:9" x14ac:dyDescent="0.25">
      <c r="A90" t="s">
        <v>100</v>
      </c>
      <c r="B90" s="11">
        <v>46007</v>
      </c>
      <c r="C90" t="s">
        <v>395</v>
      </c>
      <c r="D90" t="s">
        <v>570</v>
      </c>
      <c r="E90" t="s">
        <v>559</v>
      </c>
      <c r="F90" s="11">
        <v>46020</v>
      </c>
      <c r="G90" t="s">
        <v>545</v>
      </c>
      <c r="H90" t="s">
        <v>662</v>
      </c>
      <c r="I90" t="s">
        <v>561</v>
      </c>
    </row>
    <row r="91" spans="1:9" x14ac:dyDescent="0.25">
      <c r="A91" t="s">
        <v>190</v>
      </c>
      <c r="B91" s="11">
        <v>46018</v>
      </c>
      <c r="C91" t="s">
        <v>395</v>
      </c>
      <c r="D91" t="s">
        <v>558</v>
      </c>
      <c r="E91" t="s">
        <v>559</v>
      </c>
      <c r="F91" s="11">
        <v>46034</v>
      </c>
      <c r="G91" t="s">
        <v>545</v>
      </c>
      <c r="H91" t="s">
        <v>663</v>
      </c>
      <c r="I91" t="s">
        <v>561</v>
      </c>
    </row>
    <row r="92" spans="1:9" x14ac:dyDescent="0.25">
      <c r="A92" t="s">
        <v>245</v>
      </c>
      <c r="B92" s="11">
        <v>46007</v>
      </c>
      <c r="C92" t="s">
        <v>395</v>
      </c>
      <c r="D92" t="s">
        <v>562</v>
      </c>
      <c r="E92" t="s">
        <v>563</v>
      </c>
      <c r="F92" s="11">
        <v>46019</v>
      </c>
      <c r="G92" t="s">
        <v>545</v>
      </c>
      <c r="H92" t="s">
        <v>664</v>
      </c>
      <c r="I92" t="s">
        <v>565</v>
      </c>
    </row>
    <row r="93" spans="1:9" x14ac:dyDescent="0.25">
      <c r="A93" t="s">
        <v>59</v>
      </c>
      <c r="B93" s="11">
        <v>45993</v>
      </c>
      <c r="C93" t="s">
        <v>400</v>
      </c>
      <c r="D93" t="s">
        <v>570</v>
      </c>
      <c r="E93" t="s">
        <v>559</v>
      </c>
      <c r="F93" s="11">
        <v>46009</v>
      </c>
      <c r="G93" t="s">
        <v>545</v>
      </c>
      <c r="H93" t="s">
        <v>665</v>
      </c>
      <c r="I93" t="s">
        <v>561</v>
      </c>
    </row>
    <row r="94" spans="1:9" x14ac:dyDescent="0.25">
      <c r="A94" t="s">
        <v>75</v>
      </c>
      <c r="B94" s="11">
        <v>46012</v>
      </c>
      <c r="C94" t="s">
        <v>400</v>
      </c>
      <c r="D94" t="s">
        <v>558</v>
      </c>
      <c r="E94" t="s">
        <v>559</v>
      </c>
      <c r="F94" s="11">
        <v>46026</v>
      </c>
      <c r="G94" t="s">
        <v>545</v>
      </c>
      <c r="H94" t="s">
        <v>666</v>
      </c>
      <c r="I94" t="s">
        <v>561</v>
      </c>
    </row>
    <row r="95" spans="1:9" x14ac:dyDescent="0.25">
      <c r="A95" t="s">
        <v>83</v>
      </c>
      <c r="B95" s="11">
        <v>46026</v>
      </c>
      <c r="C95" t="s">
        <v>400</v>
      </c>
      <c r="D95" t="s">
        <v>570</v>
      </c>
      <c r="E95" t="s">
        <v>559</v>
      </c>
      <c r="F95" s="11">
        <v>46046</v>
      </c>
      <c r="G95" t="s">
        <v>545</v>
      </c>
      <c r="H95" t="s">
        <v>667</v>
      </c>
      <c r="I95" t="s">
        <v>561</v>
      </c>
    </row>
    <row r="96" spans="1:9" x14ac:dyDescent="0.25">
      <c r="A96" t="s">
        <v>212</v>
      </c>
      <c r="B96" s="11">
        <v>46048</v>
      </c>
      <c r="C96" t="s">
        <v>400</v>
      </c>
      <c r="D96" t="s">
        <v>562</v>
      </c>
      <c r="E96" t="s">
        <v>563</v>
      </c>
      <c r="F96" s="11">
        <v>46066</v>
      </c>
      <c r="G96" t="s">
        <v>545</v>
      </c>
      <c r="H96" t="s">
        <v>668</v>
      </c>
      <c r="I96" t="s">
        <v>565</v>
      </c>
    </row>
    <row r="97" spans="1:9" x14ac:dyDescent="0.25">
      <c r="A97" t="s">
        <v>215</v>
      </c>
      <c r="B97" s="11">
        <v>46035</v>
      </c>
      <c r="C97" t="s">
        <v>400</v>
      </c>
      <c r="D97" t="s">
        <v>558</v>
      </c>
      <c r="E97" t="s">
        <v>559</v>
      </c>
      <c r="F97" s="11">
        <v>46054</v>
      </c>
      <c r="G97" t="s">
        <v>545</v>
      </c>
      <c r="H97" t="s">
        <v>669</v>
      </c>
      <c r="I97" t="s">
        <v>561</v>
      </c>
    </row>
    <row r="98" spans="1:9" x14ac:dyDescent="0.25">
      <c r="A98" t="s">
        <v>233</v>
      </c>
      <c r="B98" s="11">
        <v>46037</v>
      </c>
      <c r="C98" t="s">
        <v>400</v>
      </c>
      <c r="D98" t="s">
        <v>558</v>
      </c>
      <c r="E98" t="s">
        <v>559</v>
      </c>
      <c r="F98" s="11">
        <v>46057</v>
      </c>
      <c r="G98" t="s">
        <v>545</v>
      </c>
      <c r="H98" t="s">
        <v>670</v>
      </c>
      <c r="I98" t="s">
        <v>561</v>
      </c>
    </row>
    <row r="99" spans="1:9" x14ac:dyDescent="0.25">
      <c r="A99" t="s">
        <v>37</v>
      </c>
      <c r="B99" s="11">
        <v>46009</v>
      </c>
      <c r="C99" t="s">
        <v>404</v>
      </c>
      <c r="D99" t="s">
        <v>568</v>
      </c>
      <c r="E99" t="s">
        <v>563</v>
      </c>
      <c r="F99" s="11">
        <v>46021</v>
      </c>
      <c r="G99" t="s">
        <v>545</v>
      </c>
      <c r="H99" t="s">
        <v>671</v>
      </c>
      <c r="I99" t="s">
        <v>565</v>
      </c>
    </row>
    <row r="100" spans="1:9" x14ac:dyDescent="0.25">
      <c r="A100" t="s">
        <v>70</v>
      </c>
      <c r="B100" s="11">
        <v>46012</v>
      </c>
      <c r="C100" t="s">
        <v>404</v>
      </c>
      <c r="D100" t="s">
        <v>562</v>
      </c>
      <c r="E100" t="s">
        <v>563</v>
      </c>
      <c r="F100" s="11">
        <v>46029</v>
      </c>
      <c r="G100" t="s">
        <v>545</v>
      </c>
      <c r="H100" t="s">
        <v>672</v>
      </c>
      <c r="I100" t="s">
        <v>565</v>
      </c>
    </row>
    <row r="101" spans="1:9" x14ac:dyDescent="0.25">
      <c r="A101" t="s">
        <v>187</v>
      </c>
      <c r="B101" s="11">
        <v>46043</v>
      </c>
      <c r="C101" t="s">
        <v>404</v>
      </c>
      <c r="D101" t="s">
        <v>558</v>
      </c>
      <c r="E101" t="s">
        <v>559</v>
      </c>
      <c r="F101" s="11">
        <v>46059</v>
      </c>
      <c r="G101" t="s">
        <v>545</v>
      </c>
      <c r="H101" t="s">
        <v>673</v>
      </c>
      <c r="I101" t="s">
        <v>561</v>
      </c>
    </row>
    <row r="102" spans="1:9" x14ac:dyDescent="0.25">
      <c r="A102" t="s">
        <v>201</v>
      </c>
      <c r="B102" s="11">
        <v>46050</v>
      </c>
      <c r="C102" t="s">
        <v>404</v>
      </c>
      <c r="D102" t="s">
        <v>568</v>
      </c>
      <c r="E102" t="s">
        <v>563</v>
      </c>
      <c r="F102" s="11">
        <v>46066</v>
      </c>
      <c r="G102" t="s">
        <v>545</v>
      </c>
      <c r="H102" t="s">
        <v>674</v>
      </c>
      <c r="I102" t="s">
        <v>565</v>
      </c>
    </row>
    <row r="103" spans="1:9" x14ac:dyDescent="0.25">
      <c r="A103" t="s">
        <v>232</v>
      </c>
      <c r="B103" s="11">
        <v>46052</v>
      </c>
      <c r="C103" t="s">
        <v>404</v>
      </c>
      <c r="D103" t="s">
        <v>562</v>
      </c>
      <c r="E103" t="s">
        <v>563</v>
      </c>
      <c r="F103" s="11">
        <v>46067</v>
      </c>
      <c r="G103" t="s">
        <v>545</v>
      </c>
      <c r="H103" t="s">
        <v>675</v>
      </c>
      <c r="I103" t="s">
        <v>565</v>
      </c>
    </row>
    <row r="104" spans="1:9" x14ac:dyDescent="0.25">
      <c r="A104" t="s">
        <v>274</v>
      </c>
      <c r="B104" s="11">
        <v>46035</v>
      </c>
      <c r="C104" t="s">
        <v>404</v>
      </c>
      <c r="D104" t="s">
        <v>558</v>
      </c>
      <c r="E104" t="s">
        <v>559</v>
      </c>
      <c r="F104" s="11">
        <v>46050</v>
      </c>
      <c r="G104" t="s">
        <v>545</v>
      </c>
      <c r="H104" t="s">
        <v>676</v>
      </c>
      <c r="I104" t="s">
        <v>561</v>
      </c>
    </row>
    <row r="105" spans="1:9" x14ac:dyDescent="0.25">
      <c r="A105" t="s">
        <v>291</v>
      </c>
      <c r="B105" s="11">
        <v>46027</v>
      </c>
      <c r="C105" t="s">
        <v>404</v>
      </c>
      <c r="D105" t="s">
        <v>570</v>
      </c>
      <c r="E105" t="s">
        <v>559</v>
      </c>
      <c r="F105" s="11">
        <v>46038</v>
      </c>
      <c r="G105" t="s">
        <v>545</v>
      </c>
      <c r="H105" t="s">
        <v>677</v>
      </c>
      <c r="I105" t="s">
        <v>561</v>
      </c>
    </row>
    <row r="106" spans="1:9" x14ac:dyDescent="0.25">
      <c r="A106" t="s">
        <v>169</v>
      </c>
      <c r="B106" s="11">
        <v>46015</v>
      </c>
      <c r="C106" t="s">
        <v>407</v>
      </c>
      <c r="D106" t="s">
        <v>558</v>
      </c>
      <c r="E106" t="s">
        <v>559</v>
      </c>
      <c r="F106" s="11">
        <v>46026</v>
      </c>
      <c r="G106" t="s">
        <v>545</v>
      </c>
      <c r="H106" t="s">
        <v>678</v>
      </c>
      <c r="I106" t="s">
        <v>679</v>
      </c>
    </row>
    <row r="107" spans="1:9" x14ac:dyDescent="0.25">
      <c r="A107" t="s">
        <v>270</v>
      </c>
      <c r="B107" s="11">
        <v>46019</v>
      </c>
      <c r="C107" t="s">
        <v>407</v>
      </c>
      <c r="D107" t="s">
        <v>562</v>
      </c>
      <c r="E107" t="s">
        <v>563</v>
      </c>
      <c r="F107" s="11">
        <v>46029</v>
      </c>
      <c r="G107" t="s">
        <v>545</v>
      </c>
      <c r="H107" t="s">
        <v>680</v>
      </c>
      <c r="I107" t="s">
        <v>565</v>
      </c>
    </row>
    <row r="108" spans="1:9" x14ac:dyDescent="0.25">
      <c r="A108" t="s">
        <v>6</v>
      </c>
      <c r="B108" s="11">
        <v>46002</v>
      </c>
      <c r="C108" t="s">
        <v>411</v>
      </c>
      <c r="D108" t="s">
        <v>568</v>
      </c>
      <c r="E108" t="s">
        <v>563</v>
      </c>
      <c r="F108" s="11">
        <v>46014</v>
      </c>
      <c r="G108" t="s">
        <v>545</v>
      </c>
      <c r="H108" t="s">
        <v>681</v>
      </c>
      <c r="I108" t="s">
        <v>565</v>
      </c>
    </row>
    <row r="109" spans="1:9" x14ac:dyDescent="0.25">
      <c r="A109" t="s">
        <v>20</v>
      </c>
      <c r="B109" s="11">
        <v>46016</v>
      </c>
      <c r="C109" t="s">
        <v>411</v>
      </c>
      <c r="D109" t="s">
        <v>568</v>
      </c>
      <c r="E109" t="s">
        <v>563</v>
      </c>
      <c r="F109" s="11">
        <v>46033</v>
      </c>
      <c r="G109" t="s">
        <v>545</v>
      </c>
      <c r="H109" t="s">
        <v>682</v>
      </c>
      <c r="I109" t="s">
        <v>565</v>
      </c>
    </row>
    <row r="110" spans="1:9" x14ac:dyDescent="0.25">
      <c r="A110" t="s">
        <v>79</v>
      </c>
      <c r="B110" s="11">
        <v>46016</v>
      </c>
      <c r="C110" t="s">
        <v>411</v>
      </c>
      <c r="D110" t="s">
        <v>562</v>
      </c>
      <c r="E110" t="s">
        <v>563</v>
      </c>
      <c r="F110" s="11">
        <v>46035</v>
      </c>
      <c r="G110" t="s">
        <v>545</v>
      </c>
      <c r="H110" t="s">
        <v>683</v>
      </c>
      <c r="I110" t="s">
        <v>565</v>
      </c>
    </row>
    <row r="111" spans="1:9" x14ac:dyDescent="0.25">
      <c r="A111" t="s">
        <v>147</v>
      </c>
      <c r="B111" s="11">
        <v>45998</v>
      </c>
      <c r="C111" t="s">
        <v>411</v>
      </c>
      <c r="D111" t="s">
        <v>570</v>
      </c>
      <c r="E111" t="s">
        <v>559</v>
      </c>
      <c r="F111" s="11">
        <v>46018</v>
      </c>
      <c r="G111" t="s">
        <v>545</v>
      </c>
      <c r="H111" t="s">
        <v>684</v>
      </c>
      <c r="I111" t="s">
        <v>561</v>
      </c>
    </row>
    <row r="112" spans="1:9" x14ac:dyDescent="0.25">
      <c r="A112" t="s">
        <v>228</v>
      </c>
      <c r="B112" s="11">
        <v>45998</v>
      </c>
      <c r="C112" t="s">
        <v>411</v>
      </c>
      <c r="D112" t="s">
        <v>562</v>
      </c>
      <c r="E112" t="s">
        <v>563</v>
      </c>
      <c r="F112" s="11">
        <v>46008</v>
      </c>
      <c r="G112" t="s">
        <v>545</v>
      </c>
      <c r="H112" t="s">
        <v>685</v>
      </c>
      <c r="I112" t="s">
        <v>565</v>
      </c>
    </row>
    <row r="113" spans="1:9" x14ac:dyDescent="0.25">
      <c r="A113" t="s">
        <v>272</v>
      </c>
      <c r="B113" s="11">
        <v>45992</v>
      </c>
      <c r="C113" t="s">
        <v>411</v>
      </c>
      <c r="D113" t="s">
        <v>570</v>
      </c>
      <c r="E113" t="s">
        <v>559</v>
      </c>
      <c r="F113" s="11">
        <v>46008</v>
      </c>
      <c r="G113" t="s">
        <v>545</v>
      </c>
      <c r="H113" t="s">
        <v>686</v>
      </c>
      <c r="I113" t="s">
        <v>561</v>
      </c>
    </row>
    <row r="114" spans="1:9" x14ac:dyDescent="0.25">
      <c r="A114" t="s">
        <v>296</v>
      </c>
      <c r="B114" s="11">
        <v>46010</v>
      </c>
      <c r="C114" t="s">
        <v>411</v>
      </c>
      <c r="D114" t="s">
        <v>568</v>
      </c>
      <c r="E114" t="s">
        <v>563</v>
      </c>
      <c r="F114" s="11">
        <v>46025</v>
      </c>
      <c r="G114" t="s">
        <v>545</v>
      </c>
      <c r="H114" t="s">
        <v>687</v>
      </c>
      <c r="I114" t="s">
        <v>565</v>
      </c>
    </row>
    <row r="115" spans="1:9" x14ac:dyDescent="0.25">
      <c r="A115" t="s">
        <v>145</v>
      </c>
      <c r="B115" s="11">
        <v>46020</v>
      </c>
      <c r="C115" t="s">
        <v>415</v>
      </c>
      <c r="D115" t="s">
        <v>562</v>
      </c>
      <c r="E115" t="s">
        <v>563</v>
      </c>
      <c r="F115" s="11">
        <v>46031</v>
      </c>
      <c r="G115" t="s">
        <v>545</v>
      </c>
      <c r="H115" t="s">
        <v>688</v>
      </c>
      <c r="I115" t="s">
        <v>565</v>
      </c>
    </row>
    <row r="116" spans="1:9" x14ac:dyDescent="0.25">
      <c r="A116" t="s">
        <v>171</v>
      </c>
      <c r="B116" s="11">
        <v>46021</v>
      </c>
      <c r="C116" t="s">
        <v>415</v>
      </c>
      <c r="D116" t="s">
        <v>562</v>
      </c>
      <c r="E116" t="s">
        <v>563</v>
      </c>
      <c r="F116" s="11">
        <v>46031</v>
      </c>
      <c r="G116" t="s">
        <v>545</v>
      </c>
      <c r="H116" t="s">
        <v>689</v>
      </c>
      <c r="I116" t="s">
        <v>565</v>
      </c>
    </row>
    <row r="117" spans="1:9" x14ac:dyDescent="0.25">
      <c r="A117" t="s">
        <v>204</v>
      </c>
      <c r="B117" s="11">
        <v>46013</v>
      </c>
      <c r="C117" t="s">
        <v>415</v>
      </c>
      <c r="D117" t="s">
        <v>562</v>
      </c>
      <c r="E117" t="s">
        <v>563</v>
      </c>
      <c r="F117" s="11">
        <v>46024</v>
      </c>
      <c r="G117" t="s">
        <v>545</v>
      </c>
      <c r="H117" t="s">
        <v>690</v>
      </c>
      <c r="I117" t="s">
        <v>565</v>
      </c>
    </row>
    <row r="118" spans="1:9" x14ac:dyDescent="0.25">
      <c r="A118" t="s">
        <v>206</v>
      </c>
      <c r="B118" s="11">
        <v>46019</v>
      </c>
      <c r="C118" t="s">
        <v>415</v>
      </c>
      <c r="D118" t="s">
        <v>558</v>
      </c>
      <c r="E118" t="s">
        <v>559</v>
      </c>
      <c r="F118" s="11">
        <v>46029</v>
      </c>
      <c r="G118" t="s">
        <v>545</v>
      </c>
      <c r="H118" t="s">
        <v>691</v>
      </c>
      <c r="I118" t="s">
        <v>561</v>
      </c>
    </row>
    <row r="119" spans="1:9" x14ac:dyDescent="0.25">
      <c r="A119" t="s">
        <v>14</v>
      </c>
      <c r="B119" s="11">
        <v>46049</v>
      </c>
      <c r="C119" t="s">
        <v>419</v>
      </c>
      <c r="D119" t="s">
        <v>558</v>
      </c>
      <c r="E119" t="s">
        <v>559</v>
      </c>
      <c r="F119" s="11">
        <v>46060</v>
      </c>
      <c r="G119" t="s">
        <v>545</v>
      </c>
      <c r="H119" t="s">
        <v>692</v>
      </c>
      <c r="I119" t="s">
        <v>561</v>
      </c>
    </row>
    <row r="120" spans="1:9" x14ac:dyDescent="0.25">
      <c r="A120" t="s">
        <v>27</v>
      </c>
      <c r="B120" s="11">
        <v>45995</v>
      </c>
      <c r="C120" t="s">
        <v>419</v>
      </c>
      <c r="D120" t="s">
        <v>570</v>
      </c>
      <c r="E120" t="s">
        <v>559</v>
      </c>
      <c r="F120" s="11">
        <v>46007</v>
      </c>
      <c r="G120" t="s">
        <v>545</v>
      </c>
      <c r="H120" t="s">
        <v>693</v>
      </c>
      <c r="I120" t="s">
        <v>561</v>
      </c>
    </row>
    <row r="121" spans="1:9" x14ac:dyDescent="0.25">
      <c r="A121" t="s">
        <v>54</v>
      </c>
      <c r="B121" s="11">
        <v>46021</v>
      </c>
      <c r="C121" t="s">
        <v>419</v>
      </c>
      <c r="D121" t="s">
        <v>570</v>
      </c>
      <c r="E121" t="s">
        <v>559</v>
      </c>
      <c r="F121" s="11">
        <v>46032</v>
      </c>
      <c r="G121" t="s">
        <v>545</v>
      </c>
      <c r="H121" t="s">
        <v>694</v>
      </c>
      <c r="I121" t="s">
        <v>561</v>
      </c>
    </row>
    <row r="122" spans="1:9" x14ac:dyDescent="0.25">
      <c r="A122" t="s">
        <v>93</v>
      </c>
      <c r="B122" s="11">
        <v>46024</v>
      </c>
      <c r="C122" t="s">
        <v>419</v>
      </c>
      <c r="D122" t="s">
        <v>558</v>
      </c>
      <c r="E122" t="s">
        <v>559</v>
      </c>
      <c r="F122" s="11">
        <v>46040</v>
      </c>
      <c r="G122" t="s">
        <v>545</v>
      </c>
      <c r="H122" t="s">
        <v>695</v>
      </c>
      <c r="I122" t="s">
        <v>561</v>
      </c>
    </row>
    <row r="123" spans="1:9" x14ac:dyDescent="0.25">
      <c r="A123" t="s">
        <v>102</v>
      </c>
      <c r="B123" s="11">
        <v>45994</v>
      </c>
      <c r="C123" t="s">
        <v>419</v>
      </c>
      <c r="D123" t="s">
        <v>570</v>
      </c>
      <c r="E123" t="s">
        <v>559</v>
      </c>
      <c r="F123" s="11">
        <v>46014</v>
      </c>
      <c r="G123" t="s">
        <v>545</v>
      </c>
      <c r="H123" t="s">
        <v>696</v>
      </c>
      <c r="I123" t="s">
        <v>561</v>
      </c>
    </row>
    <row r="124" spans="1:9" x14ac:dyDescent="0.25">
      <c r="A124" t="s">
        <v>282</v>
      </c>
      <c r="B124" s="11">
        <v>46023</v>
      </c>
      <c r="C124" t="s">
        <v>419</v>
      </c>
      <c r="D124" t="s">
        <v>562</v>
      </c>
      <c r="E124" t="s">
        <v>563</v>
      </c>
      <c r="F124" s="11">
        <v>46042</v>
      </c>
      <c r="G124" t="s">
        <v>545</v>
      </c>
      <c r="H124" t="s">
        <v>697</v>
      </c>
      <c r="I124" t="s">
        <v>565</v>
      </c>
    </row>
    <row r="125" spans="1:9" x14ac:dyDescent="0.25">
      <c r="A125" t="s">
        <v>293</v>
      </c>
      <c r="B125" s="11">
        <v>46011</v>
      </c>
      <c r="C125" t="s">
        <v>419</v>
      </c>
      <c r="D125" t="s">
        <v>558</v>
      </c>
      <c r="E125" t="s">
        <v>559</v>
      </c>
      <c r="F125" s="11">
        <v>46028</v>
      </c>
      <c r="G125" t="s">
        <v>545</v>
      </c>
      <c r="H125" t="s">
        <v>698</v>
      </c>
      <c r="I125" t="s">
        <v>561</v>
      </c>
    </row>
    <row r="126" spans="1:9" x14ac:dyDescent="0.25">
      <c r="A126" t="s">
        <v>18</v>
      </c>
      <c r="B126" s="11">
        <v>46029</v>
      </c>
      <c r="C126" t="s">
        <v>423</v>
      </c>
      <c r="D126" t="s">
        <v>568</v>
      </c>
      <c r="E126" t="s">
        <v>563</v>
      </c>
      <c r="F126" s="11">
        <v>46044</v>
      </c>
      <c r="G126" t="s">
        <v>545</v>
      </c>
      <c r="H126" t="s">
        <v>699</v>
      </c>
      <c r="I126" t="s">
        <v>565</v>
      </c>
    </row>
    <row r="127" spans="1:9" x14ac:dyDescent="0.25">
      <c r="A127" t="s">
        <v>22</v>
      </c>
      <c r="B127" s="11">
        <v>46051</v>
      </c>
      <c r="C127" t="s">
        <v>423</v>
      </c>
      <c r="D127" t="s">
        <v>562</v>
      </c>
      <c r="E127" t="s">
        <v>563</v>
      </c>
      <c r="F127" s="11">
        <v>46064</v>
      </c>
      <c r="G127" t="s">
        <v>545</v>
      </c>
      <c r="H127" t="s">
        <v>700</v>
      </c>
      <c r="I127" t="s">
        <v>565</v>
      </c>
    </row>
    <row r="128" spans="1:9" x14ac:dyDescent="0.25">
      <c r="A128" t="s">
        <v>47</v>
      </c>
      <c r="B128" s="11">
        <v>46018</v>
      </c>
      <c r="C128" t="s">
        <v>423</v>
      </c>
      <c r="D128" t="s">
        <v>558</v>
      </c>
      <c r="E128" t="s">
        <v>559</v>
      </c>
      <c r="F128" s="11">
        <v>46031</v>
      </c>
      <c r="G128" t="s">
        <v>545</v>
      </c>
      <c r="H128" t="s">
        <v>701</v>
      </c>
      <c r="I128" t="s">
        <v>561</v>
      </c>
    </row>
    <row r="129" spans="1:9" x14ac:dyDescent="0.25">
      <c r="A129" t="s">
        <v>50</v>
      </c>
      <c r="B129" s="11">
        <v>46000</v>
      </c>
      <c r="C129" t="s">
        <v>423</v>
      </c>
      <c r="D129" t="s">
        <v>568</v>
      </c>
      <c r="E129" t="s">
        <v>563</v>
      </c>
      <c r="F129" s="11">
        <v>46015</v>
      </c>
      <c r="G129" t="s">
        <v>545</v>
      </c>
      <c r="H129" t="s">
        <v>702</v>
      </c>
      <c r="I129" t="s">
        <v>565</v>
      </c>
    </row>
    <row r="130" spans="1:9" x14ac:dyDescent="0.25">
      <c r="A130" t="s">
        <v>139</v>
      </c>
      <c r="B130" s="11">
        <v>45992</v>
      </c>
      <c r="C130" t="s">
        <v>423</v>
      </c>
      <c r="D130" t="s">
        <v>558</v>
      </c>
      <c r="E130" t="s">
        <v>559</v>
      </c>
      <c r="F130" s="11">
        <v>46009</v>
      </c>
      <c r="G130" t="s">
        <v>545</v>
      </c>
      <c r="H130" t="s">
        <v>703</v>
      </c>
      <c r="I130" t="s">
        <v>561</v>
      </c>
    </row>
    <row r="131" spans="1:9" x14ac:dyDescent="0.25">
      <c r="A131" t="s">
        <v>140</v>
      </c>
      <c r="B131" s="11">
        <v>46039</v>
      </c>
      <c r="C131" t="s">
        <v>423</v>
      </c>
      <c r="D131" t="s">
        <v>558</v>
      </c>
      <c r="E131" t="s">
        <v>559</v>
      </c>
      <c r="F131" s="11">
        <v>46054</v>
      </c>
      <c r="G131" t="s">
        <v>545</v>
      </c>
      <c r="H131" t="s">
        <v>704</v>
      </c>
      <c r="I131" t="s">
        <v>561</v>
      </c>
    </row>
    <row r="132" spans="1:9" x14ac:dyDescent="0.25">
      <c r="A132" t="s">
        <v>240</v>
      </c>
      <c r="B132" s="11">
        <v>46030</v>
      </c>
      <c r="C132" t="s">
        <v>423</v>
      </c>
      <c r="D132" t="s">
        <v>568</v>
      </c>
      <c r="E132" t="s">
        <v>563</v>
      </c>
      <c r="F132" s="11">
        <v>46041</v>
      </c>
      <c r="G132" t="s">
        <v>545</v>
      </c>
      <c r="H132" t="s">
        <v>705</v>
      </c>
      <c r="I132" t="s">
        <v>565</v>
      </c>
    </row>
    <row r="133" spans="1:9" x14ac:dyDescent="0.25">
      <c r="A133" t="s">
        <v>254</v>
      </c>
      <c r="B133" s="11">
        <v>46012</v>
      </c>
      <c r="C133" t="s">
        <v>423</v>
      </c>
      <c r="D133" t="s">
        <v>558</v>
      </c>
      <c r="E133" t="s">
        <v>559</v>
      </c>
      <c r="F133" s="11">
        <v>46031</v>
      </c>
      <c r="G133" t="s">
        <v>545</v>
      </c>
      <c r="H133" t="s">
        <v>706</v>
      </c>
      <c r="I133" t="s">
        <v>561</v>
      </c>
    </row>
    <row r="134" spans="1:9" x14ac:dyDescent="0.25">
      <c r="A134" t="s">
        <v>273</v>
      </c>
      <c r="B134" s="11">
        <v>46051</v>
      </c>
      <c r="C134" t="s">
        <v>423</v>
      </c>
      <c r="D134" t="s">
        <v>562</v>
      </c>
      <c r="E134" t="s">
        <v>563</v>
      </c>
      <c r="F134" s="11">
        <v>46071</v>
      </c>
      <c r="G134" t="s">
        <v>545</v>
      </c>
      <c r="H134" t="s">
        <v>707</v>
      </c>
      <c r="I134" t="s">
        <v>565</v>
      </c>
    </row>
    <row r="135" spans="1:9" x14ac:dyDescent="0.25">
      <c r="A135" t="s">
        <v>279</v>
      </c>
      <c r="B135" s="11">
        <v>46035</v>
      </c>
      <c r="C135" t="s">
        <v>423</v>
      </c>
      <c r="D135" t="s">
        <v>558</v>
      </c>
      <c r="E135" t="s">
        <v>559</v>
      </c>
      <c r="F135" s="11">
        <v>46049</v>
      </c>
      <c r="G135" t="s">
        <v>545</v>
      </c>
      <c r="H135" t="s">
        <v>708</v>
      </c>
      <c r="I135" t="s">
        <v>561</v>
      </c>
    </row>
    <row r="136" spans="1:9" x14ac:dyDescent="0.25">
      <c r="A136" t="s">
        <v>285</v>
      </c>
      <c r="B136" s="11">
        <v>46051</v>
      </c>
      <c r="C136" t="s">
        <v>423</v>
      </c>
      <c r="D136" t="s">
        <v>568</v>
      </c>
      <c r="E136" t="s">
        <v>563</v>
      </c>
      <c r="F136" s="11">
        <v>46070</v>
      </c>
      <c r="G136" t="s">
        <v>545</v>
      </c>
      <c r="H136" t="s">
        <v>709</v>
      </c>
      <c r="I136" t="s">
        <v>565</v>
      </c>
    </row>
    <row r="137" spans="1:9" x14ac:dyDescent="0.25">
      <c r="A137" t="s">
        <v>23</v>
      </c>
      <c r="B137" s="11">
        <v>46042</v>
      </c>
      <c r="C137" t="s">
        <v>427</v>
      </c>
      <c r="D137" t="s">
        <v>562</v>
      </c>
      <c r="E137" t="s">
        <v>563</v>
      </c>
      <c r="F137" s="11">
        <v>46060</v>
      </c>
      <c r="G137" t="s">
        <v>545</v>
      </c>
      <c r="H137" t="s">
        <v>710</v>
      </c>
      <c r="I137" t="s">
        <v>565</v>
      </c>
    </row>
    <row r="138" spans="1:9" x14ac:dyDescent="0.25">
      <c r="A138" t="s">
        <v>30</v>
      </c>
      <c r="B138" s="11">
        <v>46003</v>
      </c>
      <c r="C138" t="s">
        <v>427</v>
      </c>
      <c r="D138" t="s">
        <v>558</v>
      </c>
      <c r="E138" t="s">
        <v>559</v>
      </c>
      <c r="F138" s="11">
        <v>46016</v>
      </c>
      <c r="G138" t="s">
        <v>545</v>
      </c>
      <c r="H138" t="s">
        <v>711</v>
      </c>
      <c r="I138" t="s">
        <v>561</v>
      </c>
    </row>
    <row r="139" spans="1:9" x14ac:dyDescent="0.25">
      <c r="A139" t="s">
        <v>107</v>
      </c>
      <c r="B139" s="11">
        <v>46039</v>
      </c>
      <c r="C139" t="s">
        <v>427</v>
      </c>
      <c r="D139" t="s">
        <v>568</v>
      </c>
      <c r="E139" t="s">
        <v>563</v>
      </c>
      <c r="F139" s="11">
        <v>46049</v>
      </c>
      <c r="G139" t="s">
        <v>545</v>
      </c>
      <c r="H139" t="s">
        <v>712</v>
      </c>
      <c r="I139" t="s">
        <v>565</v>
      </c>
    </row>
    <row r="140" spans="1:9" x14ac:dyDescent="0.25">
      <c r="A140" t="s">
        <v>148</v>
      </c>
      <c r="B140" s="11">
        <v>46008</v>
      </c>
      <c r="C140" t="s">
        <v>427</v>
      </c>
      <c r="D140" t="s">
        <v>562</v>
      </c>
      <c r="E140" t="s">
        <v>563</v>
      </c>
      <c r="F140" s="11">
        <v>46025</v>
      </c>
      <c r="G140" t="s">
        <v>545</v>
      </c>
      <c r="H140" t="s">
        <v>713</v>
      </c>
      <c r="I140" t="s">
        <v>565</v>
      </c>
    </row>
    <row r="141" spans="1:9" x14ac:dyDescent="0.25">
      <c r="A141" t="s">
        <v>162</v>
      </c>
      <c r="B141" s="11">
        <v>46021</v>
      </c>
      <c r="C141" t="s">
        <v>427</v>
      </c>
      <c r="D141" t="s">
        <v>562</v>
      </c>
      <c r="E141" t="s">
        <v>563</v>
      </c>
      <c r="F141" s="11">
        <v>46040</v>
      </c>
      <c r="G141" t="s">
        <v>545</v>
      </c>
      <c r="H141" t="s">
        <v>714</v>
      </c>
      <c r="I141" t="s">
        <v>565</v>
      </c>
    </row>
    <row r="142" spans="1:9" x14ac:dyDescent="0.25">
      <c r="A142" t="s">
        <v>186</v>
      </c>
      <c r="B142" s="11">
        <v>46039</v>
      </c>
      <c r="C142" t="s">
        <v>427</v>
      </c>
      <c r="D142" t="s">
        <v>562</v>
      </c>
      <c r="E142" t="s">
        <v>563</v>
      </c>
      <c r="F142" s="11">
        <v>46050</v>
      </c>
      <c r="G142" t="s">
        <v>545</v>
      </c>
      <c r="H142" t="s">
        <v>715</v>
      </c>
      <c r="I142" t="s">
        <v>565</v>
      </c>
    </row>
    <row r="143" spans="1:9" x14ac:dyDescent="0.25">
      <c r="A143" t="s">
        <v>231</v>
      </c>
      <c r="B143" s="11">
        <v>46035</v>
      </c>
      <c r="C143" t="s">
        <v>427</v>
      </c>
      <c r="D143" t="s">
        <v>562</v>
      </c>
      <c r="E143" t="s">
        <v>563</v>
      </c>
      <c r="F143" s="11">
        <v>46055</v>
      </c>
      <c r="G143" t="s">
        <v>545</v>
      </c>
      <c r="H143" t="s">
        <v>716</v>
      </c>
      <c r="I143" t="s">
        <v>565</v>
      </c>
    </row>
    <row r="144" spans="1:9" x14ac:dyDescent="0.25">
      <c r="A144" t="s">
        <v>238</v>
      </c>
      <c r="B144" s="11">
        <v>45996</v>
      </c>
      <c r="C144" t="s">
        <v>427</v>
      </c>
      <c r="D144" t="s">
        <v>568</v>
      </c>
      <c r="E144" t="s">
        <v>563</v>
      </c>
      <c r="F144" s="11">
        <v>46009</v>
      </c>
      <c r="G144" t="s">
        <v>545</v>
      </c>
      <c r="H144" t="s">
        <v>717</v>
      </c>
      <c r="I144" t="s">
        <v>565</v>
      </c>
    </row>
    <row r="145" spans="1:9" x14ac:dyDescent="0.25">
      <c r="A145" t="s">
        <v>259</v>
      </c>
      <c r="B145" s="11">
        <v>46009</v>
      </c>
      <c r="C145" t="s">
        <v>427</v>
      </c>
      <c r="D145" t="s">
        <v>558</v>
      </c>
      <c r="E145" t="s">
        <v>559</v>
      </c>
      <c r="F145" s="11">
        <v>46023</v>
      </c>
      <c r="G145" t="s">
        <v>545</v>
      </c>
      <c r="H145" t="s">
        <v>718</v>
      </c>
      <c r="I145" t="s">
        <v>561</v>
      </c>
    </row>
    <row r="146" spans="1:9" x14ac:dyDescent="0.25">
      <c r="A146" t="s">
        <v>284</v>
      </c>
      <c r="B146" s="11">
        <v>46030</v>
      </c>
      <c r="C146" t="s">
        <v>427</v>
      </c>
      <c r="D146" t="s">
        <v>568</v>
      </c>
      <c r="E146" t="s">
        <v>563</v>
      </c>
      <c r="F146" s="11">
        <v>46044</v>
      </c>
      <c r="G146" t="s">
        <v>545</v>
      </c>
      <c r="H146" t="s">
        <v>719</v>
      </c>
      <c r="I146" t="s">
        <v>565</v>
      </c>
    </row>
    <row r="147" spans="1:9" x14ac:dyDescent="0.25">
      <c r="A147" t="s">
        <v>306</v>
      </c>
      <c r="B147" s="11">
        <v>46033</v>
      </c>
      <c r="C147" t="s">
        <v>427</v>
      </c>
      <c r="D147" t="s">
        <v>562</v>
      </c>
      <c r="E147" t="s">
        <v>563</v>
      </c>
      <c r="F147" s="11">
        <v>46053</v>
      </c>
      <c r="G147" t="s">
        <v>545</v>
      </c>
      <c r="H147" t="s">
        <v>720</v>
      </c>
      <c r="I147" t="s">
        <v>565</v>
      </c>
    </row>
    <row r="148" spans="1:9" x14ac:dyDescent="0.25">
      <c r="A148" t="s">
        <v>73</v>
      </c>
      <c r="B148" s="11">
        <v>46042</v>
      </c>
      <c r="C148" t="s">
        <v>431</v>
      </c>
      <c r="D148" t="s">
        <v>558</v>
      </c>
      <c r="E148" t="s">
        <v>559</v>
      </c>
      <c r="F148" s="11">
        <v>46061</v>
      </c>
      <c r="G148" t="s">
        <v>545</v>
      </c>
      <c r="H148" t="s">
        <v>721</v>
      </c>
      <c r="I148" t="s">
        <v>722</v>
      </c>
    </row>
    <row r="149" spans="1:9" x14ac:dyDescent="0.25">
      <c r="A149" t="s">
        <v>105</v>
      </c>
      <c r="B149" s="11">
        <v>46044</v>
      </c>
      <c r="C149" t="s">
        <v>431</v>
      </c>
      <c r="D149" t="s">
        <v>558</v>
      </c>
      <c r="E149" t="s">
        <v>559</v>
      </c>
      <c r="F149" s="11">
        <v>46056</v>
      </c>
      <c r="G149" t="s">
        <v>545</v>
      </c>
      <c r="H149" t="s">
        <v>723</v>
      </c>
      <c r="I149" t="s">
        <v>561</v>
      </c>
    </row>
    <row r="150" spans="1:9" x14ac:dyDescent="0.25">
      <c r="A150" t="s">
        <v>130</v>
      </c>
      <c r="B150" s="11">
        <v>46014</v>
      </c>
      <c r="C150" t="s">
        <v>431</v>
      </c>
      <c r="D150" t="s">
        <v>562</v>
      </c>
      <c r="E150" t="s">
        <v>563</v>
      </c>
      <c r="F150" s="11">
        <v>46024</v>
      </c>
      <c r="G150" t="s">
        <v>545</v>
      </c>
      <c r="H150" t="s">
        <v>724</v>
      </c>
      <c r="I150" t="s">
        <v>565</v>
      </c>
    </row>
    <row r="151" spans="1:9" x14ac:dyDescent="0.25">
      <c r="A151" t="s">
        <v>159</v>
      </c>
      <c r="B151" s="11">
        <v>46016</v>
      </c>
      <c r="C151" t="s">
        <v>431</v>
      </c>
      <c r="D151" t="s">
        <v>558</v>
      </c>
      <c r="E151" t="s">
        <v>559</v>
      </c>
      <c r="F151" s="11">
        <v>46031</v>
      </c>
      <c r="G151" t="s">
        <v>545</v>
      </c>
      <c r="H151" t="s">
        <v>725</v>
      </c>
      <c r="I151" t="s">
        <v>561</v>
      </c>
    </row>
    <row r="152" spans="1:9" x14ac:dyDescent="0.25">
      <c r="A152" t="s">
        <v>250</v>
      </c>
      <c r="B152" s="11">
        <v>46032</v>
      </c>
      <c r="C152" t="s">
        <v>431</v>
      </c>
      <c r="D152" t="s">
        <v>568</v>
      </c>
      <c r="E152" t="s">
        <v>563</v>
      </c>
      <c r="F152" s="11">
        <v>46047</v>
      </c>
      <c r="G152" t="s">
        <v>545</v>
      </c>
      <c r="H152" t="s">
        <v>726</v>
      </c>
      <c r="I152" t="s">
        <v>565</v>
      </c>
    </row>
    <row r="153" spans="1:9" x14ac:dyDescent="0.25">
      <c r="A153" t="s">
        <v>298</v>
      </c>
      <c r="B153" s="11">
        <v>46022</v>
      </c>
      <c r="C153" t="s">
        <v>431</v>
      </c>
      <c r="D153" t="s">
        <v>568</v>
      </c>
      <c r="E153" t="s">
        <v>563</v>
      </c>
      <c r="F153" s="11">
        <v>46040</v>
      </c>
      <c r="G153" t="s">
        <v>545</v>
      </c>
      <c r="H153" t="s">
        <v>727</v>
      </c>
      <c r="I153" t="s">
        <v>565</v>
      </c>
    </row>
    <row r="154" spans="1:9" x14ac:dyDescent="0.25">
      <c r="A154" t="s">
        <v>46</v>
      </c>
      <c r="B154" s="11">
        <v>46018</v>
      </c>
      <c r="C154" t="s">
        <v>434</v>
      </c>
      <c r="D154" t="s">
        <v>568</v>
      </c>
      <c r="E154" t="s">
        <v>563</v>
      </c>
      <c r="F154" s="11">
        <v>46034</v>
      </c>
      <c r="G154" t="s">
        <v>545</v>
      </c>
      <c r="H154" t="s">
        <v>728</v>
      </c>
      <c r="I154" t="s">
        <v>565</v>
      </c>
    </row>
    <row r="155" spans="1:9" x14ac:dyDescent="0.25">
      <c r="A155" t="s">
        <v>121</v>
      </c>
      <c r="B155" s="11">
        <v>46039</v>
      </c>
      <c r="C155" t="s">
        <v>434</v>
      </c>
      <c r="D155" t="s">
        <v>558</v>
      </c>
      <c r="E155" t="s">
        <v>559</v>
      </c>
      <c r="F155" s="11">
        <v>46054</v>
      </c>
      <c r="G155" t="s">
        <v>545</v>
      </c>
      <c r="H155" t="s">
        <v>729</v>
      </c>
      <c r="I155" t="s">
        <v>561</v>
      </c>
    </row>
    <row r="156" spans="1:9" x14ac:dyDescent="0.25">
      <c r="A156" t="s">
        <v>146</v>
      </c>
      <c r="B156" s="11">
        <v>46044</v>
      </c>
      <c r="C156" t="s">
        <v>434</v>
      </c>
      <c r="D156" t="s">
        <v>558</v>
      </c>
      <c r="E156" t="s">
        <v>559</v>
      </c>
      <c r="F156" s="11">
        <v>46056</v>
      </c>
      <c r="G156" t="s">
        <v>545</v>
      </c>
      <c r="H156" t="s">
        <v>730</v>
      </c>
      <c r="I156" t="s">
        <v>561</v>
      </c>
    </row>
    <row r="157" spans="1:9" x14ac:dyDescent="0.25">
      <c r="A157" t="s">
        <v>163</v>
      </c>
      <c r="B157" s="11">
        <v>46019</v>
      </c>
      <c r="C157" t="s">
        <v>434</v>
      </c>
      <c r="D157" t="s">
        <v>562</v>
      </c>
      <c r="E157" t="s">
        <v>563</v>
      </c>
      <c r="F157" s="11">
        <v>46033</v>
      </c>
      <c r="G157" t="s">
        <v>545</v>
      </c>
      <c r="H157" t="s">
        <v>731</v>
      </c>
      <c r="I157" t="s">
        <v>565</v>
      </c>
    </row>
    <row r="158" spans="1:9" x14ac:dyDescent="0.25">
      <c r="A158" t="s">
        <v>222</v>
      </c>
      <c r="B158" s="11">
        <v>46048</v>
      </c>
      <c r="C158" t="s">
        <v>434</v>
      </c>
      <c r="D158" t="s">
        <v>570</v>
      </c>
      <c r="E158" t="s">
        <v>559</v>
      </c>
      <c r="F158" s="11">
        <v>46059</v>
      </c>
      <c r="G158" t="s">
        <v>545</v>
      </c>
      <c r="H158" t="s">
        <v>732</v>
      </c>
      <c r="I158" t="s">
        <v>561</v>
      </c>
    </row>
    <row r="159" spans="1:9" x14ac:dyDescent="0.25">
      <c r="A159" t="s">
        <v>247</v>
      </c>
      <c r="B159" s="11">
        <v>46049</v>
      </c>
      <c r="C159" t="s">
        <v>434</v>
      </c>
      <c r="D159" t="s">
        <v>568</v>
      </c>
      <c r="E159" t="s">
        <v>563</v>
      </c>
      <c r="F159" s="11">
        <v>46062</v>
      </c>
      <c r="G159" t="s">
        <v>545</v>
      </c>
      <c r="H159" t="s">
        <v>733</v>
      </c>
      <c r="I159" t="s">
        <v>565</v>
      </c>
    </row>
    <row r="160" spans="1:9" x14ac:dyDescent="0.25">
      <c r="A160" t="s">
        <v>295</v>
      </c>
      <c r="B160" s="11">
        <v>46021</v>
      </c>
      <c r="C160" t="s">
        <v>434</v>
      </c>
      <c r="D160" t="s">
        <v>562</v>
      </c>
      <c r="E160" t="s">
        <v>563</v>
      </c>
      <c r="F160" s="11">
        <v>46040</v>
      </c>
      <c r="G160" t="s">
        <v>545</v>
      </c>
      <c r="H160" t="s">
        <v>734</v>
      </c>
      <c r="I160" t="s">
        <v>565</v>
      </c>
    </row>
    <row r="161" spans="1:9" x14ac:dyDescent="0.25">
      <c r="A161" t="s">
        <v>38</v>
      </c>
      <c r="B161" s="11">
        <v>46039</v>
      </c>
      <c r="C161" t="s">
        <v>437</v>
      </c>
      <c r="D161" t="s">
        <v>562</v>
      </c>
      <c r="E161" t="s">
        <v>563</v>
      </c>
      <c r="F161" s="11">
        <v>46049</v>
      </c>
      <c r="G161" t="s">
        <v>545</v>
      </c>
      <c r="H161" t="s">
        <v>735</v>
      </c>
      <c r="I161" t="s">
        <v>565</v>
      </c>
    </row>
    <row r="162" spans="1:9" x14ac:dyDescent="0.25">
      <c r="A162" t="s">
        <v>181</v>
      </c>
      <c r="B162" s="11">
        <v>46024</v>
      </c>
      <c r="C162" t="s">
        <v>437</v>
      </c>
      <c r="D162" t="s">
        <v>570</v>
      </c>
      <c r="E162" t="s">
        <v>559</v>
      </c>
      <c r="F162" s="11">
        <v>46034</v>
      </c>
      <c r="G162" t="s">
        <v>545</v>
      </c>
      <c r="H162" t="s">
        <v>736</v>
      </c>
      <c r="I162" t="s">
        <v>561</v>
      </c>
    </row>
    <row r="163" spans="1:9" x14ac:dyDescent="0.25">
      <c r="A163" t="s">
        <v>197</v>
      </c>
      <c r="B163" s="11">
        <v>46013</v>
      </c>
      <c r="C163" t="s">
        <v>437</v>
      </c>
      <c r="D163" t="s">
        <v>570</v>
      </c>
      <c r="E163" t="s">
        <v>559</v>
      </c>
      <c r="F163" s="11">
        <v>46032</v>
      </c>
      <c r="G163" t="s">
        <v>545</v>
      </c>
      <c r="H163" t="s">
        <v>737</v>
      </c>
      <c r="I163" t="s">
        <v>561</v>
      </c>
    </row>
    <row r="164" spans="1:9" x14ac:dyDescent="0.25">
      <c r="A164" t="s">
        <v>292</v>
      </c>
      <c r="B164" s="11">
        <v>45995</v>
      </c>
      <c r="C164" t="s">
        <v>437</v>
      </c>
      <c r="D164" t="s">
        <v>558</v>
      </c>
      <c r="E164" t="s">
        <v>559</v>
      </c>
      <c r="F164" s="11">
        <v>46011</v>
      </c>
      <c r="G164" t="s">
        <v>545</v>
      </c>
      <c r="H164" t="s">
        <v>738</v>
      </c>
      <c r="I164" t="s">
        <v>739</v>
      </c>
    </row>
    <row r="165" spans="1:9" x14ac:dyDescent="0.25">
      <c r="A165" t="s">
        <v>25</v>
      </c>
      <c r="B165" s="11">
        <v>45998</v>
      </c>
      <c r="C165" t="s">
        <v>441</v>
      </c>
      <c r="D165" t="s">
        <v>558</v>
      </c>
      <c r="E165" t="s">
        <v>559</v>
      </c>
      <c r="F165" s="11">
        <v>46015</v>
      </c>
      <c r="G165" t="s">
        <v>545</v>
      </c>
      <c r="H165" t="s">
        <v>740</v>
      </c>
      <c r="I165" t="s">
        <v>561</v>
      </c>
    </row>
    <row r="166" spans="1:9" x14ac:dyDescent="0.25">
      <c r="A166" t="s">
        <v>68</v>
      </c>
      <c r="B166" s="11">
        <v>46004</v>
      </c>
      <c r="C166" t="s">
        <v>441</v>
      </c>
      <c r="D166" t="s">
        <v>562</v>
      </c>
      <c r="E166" t="s">
        <v>563</v>
      </c>
      <c r="F166" s="11">
        <v>46014</v>
      </c>
      <c r="G166" t="s">
        <v>545</v>
      </c>
      <c r="H166" t="s">
        <v>741</v>
      </c>
      <c r="I166" t="s">
        <v>565</v>
      </c>
    </row>
    <row r="167" spans="1:9" x14ac:dyDescent="0.25">
      <c r="A167" t="s">
        <v>132</v>
      </c>
      <c r="B167" s="11">
        <v>45993</v>
      </c>
      <c r="C167" t="s">
        <v>441</v>
      </c>
      <c r="D167" t="s">
        <v>562</v>
      </c>
      <c r="E167" t="s">
        <v>563</v>
      </c>
      <c r="F167" s="11">
        <v>46003</v>
      </c>
      <c r="G167" t="s">
        <v>545</v>
      </c>
      <c r="H167" t="s">
        <v>742</v>
      </c>
      <c r="I167" t="s">
        <v>565</v>
      </c>
    </row>
    <row r="168" spans="1:9" x14ac:dyDescent="0.25">
      <c r="A168" t="s">
        <v>191</v>
      </c>
      <c r="B168" s="11">
        <v>46001</v>
      </c>
      <c r="C168" t="s">
        <v>441</v>
      </c>
      <c r="D168" t="s">
        <v>562</v>
      </c>
      <c r="E168" t="s">
        <v>563</v>
      </c>
      <c r="F168" s="11">
        <v>46015</v>
      </c>
      <c r="G168" t="s">
        <v>545</v>
      </c>
      <c r="H168" t="s">
        <v>743</v>
      </c>
      <c r="I168" t="s">
        <v>565</v>
      </c>
    </row>
    <row r="169" spans="1:9" x14ac:dyDescent="0.25">
      <c r="A169" t="s">
        <v>255</v>
      </c>
      <c r="B169" s="11">
        <v>46049</v>
      </c>
      <c r="C169" t="s">
        <v>441</v>
      </c>
      <c r="D169" t="s">
        <v>568</v>
      </c>
      <c r="E169" t="s">
        <v>563</v>
      </c>
      <c r="F169" s="11">
        <v>46066</v>
      </c>
      <c r="G169" t="s">
        <v>545</v>
      </c>
      <c r="H169" t="s">
        <v>744</v>
      </c>
      <c r="I169" t="s">
        <v>565</v>
      </c>
    </row>
    <row r="170" spans="1:9" x14ac:dyDescent="0.25">
      <c r="A170" t="s">
        <v>188</v>
      </c>
      <c r="B170" s="11">
        <v>46041</v>
      </c>
      <c r="C170" t="s">
        <v>444</v>
      </c>
      <c r="D170" t="s">
        <v>562</v>
      </c>
      <c r="E170" t="s">
        <v>563</v>
      </c>
      <c r="F170" s="11">
        <v>46055</v>
      </c>
      <c r="G170" t="s">
        <v>545</v>
      </c>
      <c r="H170" t="s">
        <v>745</v>
      </c>
      <c r="I170" t="s">
        <v>565</v>
      </c>
    </row>
    <row r="171" spans="1:9" x14ac:dyDescent="0.25">
      <c r="A171" t="s">
        <v>264</v>
      </c>
      <c r="B171" s="11">
        <v>46044</v>
      </c>
      <c r="C171" t="s">
        <v>444</v>
      </c>
      <c r="D171" t="s">
        <v>568</v>
      </c>
      <c r="E171" t="s">
        <v>563</v>
      </c>
      <c r="F171" s="11">
        <v>46054</v>
      </c>
      <c r="G171" t="s">
        <v>545</v>
      </c>
      <c r="H171" t="s">
        <v>746</v>
      </c>
      <c r="I171" t="s">
        <v>565</v>
      </c>
    </row>
    <row r="172" spans="1:9" x14ac:dyDescent="0.25">
      <c r="A172" t="s">
        <v>62</v>
      </c>
      <c r="B172" s="11">
        <v>46030</v>
      </c>
      <c r="C172" t="s">
        <v>447</v>
      </c>
      <c r="D172" t="s">
        <v>558</v>
      </c>
      <c r="E172" t="s">
        <v>559</v>
      </c>
      <c r="F172" s="11">
        <v>46050</v>
      </c>
      <c r="G172" t="s">
        <v>545</v>
      </c>
      <c r="H172" t="s">
        <v>747</v>
      </c>
      <c r="I172" t="s">
        <v>561</v>
      </c>
    </row>
    <row r="173" spans="1:9" x14ac:dyDescent="0.25">
      <c r="A173" t="s">
        <v>92</v>
      </c>
      <c r="B173" s="11">
        <v>46019</v>
      </c>
      <c r="C173" t="s">
        <v>447</v>
      </c>
      <c r="D173" t="s">
        <v>568</v>
      </c>
      <c r="E173" t="s">
        <v>563</v>
      </c>
      <c r="F173" s="11">
        <v>46039</v>
      </c>
      <c r="G173" t="s">
        <v>545</v>
      </c>
      <c r="H173" t="s">
        <v>748</v>
      </c>
      <c r="I173" t="s">
        <v>565</v>
      </c>
    </row>
    <row r="174" spans="1:9" x14ac:dyDescent="0.25">
      <c r="A174" t="s">
        <v>119</v>
      </c>
      <c r="B174" s="11">
        <v>46035</v>
      </c>
      <c r="C174" t="s">
        <v>447</v>
      </c>
      <c r="D174" t="s">
        <v>570</v>
      </c>
      <c r="E174" t="s">
        <v>559</v>
      </c>
      <c r="F174" s="11">
        <v>46052</v>
      </c>
      <c r="G174" t="s">
        <v>545</v>
      </c>
      <c r="H174" t="s">
        <v>749</v>
      </c>
      <c r="I174" t="s">
        <v>561</v>
      </c>
    </row>
    <row r="175" spans="1:9" x14ac:dyDescent="0.25">
      <c r="A175" t="s">
        <v>137</v>
      </c>
      <c r="B175" s="11">
        <v>46032</v>
      </c>
      <c r="C175" t="s">
        <v>447</v>
      </c>
      <c r="D175" t="s">
        <v>570</v>
      </c>
      <c r="E175" t="s">
        <v>559</v>
      </c>
      <c r="F175" s="11">
        <v>46046</v>
      </c>
      <c r="G175" t="s">
        <v>545</v>
      </c>
      <c r="H175" t="s">
        <v>750</v>
      </c>
      <c r="I175" t="s">
        <v>561</v>
      </c>
    </row>
    <row r="176" spans="1:9" x14ac:dyDescent="0.25">
      <c r="A176" t="s">
        <v>175</v>
      </c>
      <c r="B176" s="11">
        <v>46038</v>
      </c>
      <c r="C176" t="s">
        <v>447</v>
      </c>
      <c r="D176" t="s">
        <v>558</v>
      </c>
      <c r="E176" t="s">
        <v>559</v>
      </c>
      <c r="F176" s="11">
        <v>46052</v>
      </c>
      <c r="G176" t="s">
        <v>545</v>
      </c>
      <c r="H176" t="s">
        <v>751</v>
      </c>
      <c r="I176" t="s">
        <v>561</v>
      </c>
    </row>
    <row r="177" spans="1:9" x14ac:dyDescent="0.25">
      <c r="A177" t="s">
        <v>236</v>
      </c>
      <c r="B177" s="11">
        <v>46039</v>
      </c>
      <c r="C177" t="s">
        <v>447</v>
      </c>
      <c r="D177" t="s">
        <v>570</v>
      </c>
      <c r="E177" t="s">
        <v>559</v>
      </c>
      <c r="F177" s="11">
        <v>46056</v>
      </c>
      <c r="G177" t="s">
        <v>545</v>
      </c>
      <c r="H177" t="s">
        <v>752</v>
      </c>
      <c r="I177" t="s">
        <v>561</v>
      </c>
    </row>
    <row r="178" spans="1:9" x14ac:dyDescent="0.25">
      <c r="A178" t="s">
        <v>258</v>
      </c>
      <c r="B178" s="11">
        <v>46027</v>
      </c>
      <c r="C178" t="s">
        <v>447</v>
      </c>
      <c r="D178" t="s">
        <v>562</v>
      </c>
      <c r="E178" t="s">
        <v>563</v>
      </c>
      <c r="F178" s="11">
        <v>46047</v>
      </c>
      <c r="G178" t="s">
        <v>545</v>
      </c>
      <c r="H178" t="s">
        <v>753</v>
      </c>
      <c r="I178" t="s">
        <v>565</v>
      </c>
    </row>
    <row r="179" spans="1:9" x14ac:dyDescent="0.25">
      <c r="A179" t="s">
        <v>281</v>
      </c>
      <c r="B179" s="11">
        <v>46005</v>
      </c>
      <c r="C179" t="s">
        <v>447</v>
      </c>
      <c r="D179" t="s">
        <v>568</v>
      </c>
      <c r="E179" t="s">
        <v>563</v>
      </c>
      <c r="F179" s="11">
        <v>46022</v>
      </c>
      <c r="G179" t="s">
        <v>545</v>
      </c>
      <c r="H179" t="s">
        <v>754</v>
      </c>
      <c r="I179" t="s">
        <v>565</v>
      </c>
    </row>
    <row r="180" spans="1:9" x14ac:dyDescent="0.25">
      <c r="A180" t="s">
        <v>80</v>
      </c>
      <c r="B180" s="11">
        <v>46031</v>
      </c>
      <c r="C180" t="s">
        <v>451</v>
      </c>
      <c r="D180" t="s">
        <v>558</v>
      </c>
      <c r="E180" t="s">
        <v>559</v>
      </c>
      <c r="F180" s="11">
        <v>46041</v>
      </c>
      <c r="G180" t="s">
        <v>545</v>
      </c>
      <c r="H180" t="s">
        <v>755</v>
      </c>
      <c r="I180" t="s">
        <v>561</v>
      </c>
    </row>
    <row r="181" spans="1:9" x14ac:dyDescent="0.25">
      <c r="A181" t="s">
        <v>138</v>
      </c>
      <c r="B181" s="11">
        <v>46021</v>
      </c>
      <c r="C181" t="s">
        <v>451</v>
      </c>
      <c r="D181" t="s">
        <v>568</v>
      </c>
      <c r="E181" t="s">
        <v>563</v>
      </c>
      <c r="F181" s="11">
        <v>46031</v>
      </c>
      <c r="G181" t="s">
        <v>545</v>
      </c>
      <c r="H181" t="s">
        <v>756</v>
      </c>
      <c r="I181" t="s">
        <v>565</v>
      </c>
    </row>
    <row r="182" spans="1:9" x14ac:dyDescent="0.25">
      <c r="A182" t="s">
        <v>153</v>
      </c>
      <c r="B182" s="11">
        <v>46045</v>
      </c>
      <c r="C182" t="s">
        <v>451</v>
      </c>
      <c r="D182" t="s">
        <v>558</v>
      </c>
      <c r="E182" t="s">
        <v>559</v>
      </c>
      <c r="F182" s="11">
        <v>46065</v>
      </c>
      <c r="G182" t="s">
        <v>545</v>
      </c>
      <c r="H182" t="s">
        <v>757</v>
      </c>
      <c r="I182" t="s">
        <v>561</v>
      </c>
    </row>
    <row r="183" spans="1:9" x14ac:dyDescent="0.25">
      <c r="A183" t="s">
        <v>263</v>
      </c>
      <c r="B183" s="11">
        <v>45997</v>
      </c>
      <c r="C183" t="s">
        <v>451</v>
      </c>
      <c r="D183" t="s">
        <v>558</v>
      </c>
      <c r="E183" t="s">
        <v>559</v>
      </c>
      <c r="F183" s="11">
        <v>46017</v>
      </c>
      <c r="G183" t="s">
        <v>545</v>
      </c>
      <c r="H183" t="s">
        <v>758</v>
      </c>
      <c r="I183" t="s">
        <v>561</v>
      </c>
    </row>
    <row r="184" spans="1:9" x14ac:dyDescent="0.25">
      <c r="A184" t="s">
        <v>271</v>
      </c>
      <c r="B184" s="11">
        <v>46015</v>
      </c>
      <c r="C184" t="s">
        <v>451</v>
      </c>
      <c r="D184" t="s">
        <v>562</v>
      </c>
      <c r="E184" t="s">
        <v>563</v>
      </c>
      <c r="F184" s="11">
        <v>46028</v>
      </c>
      <c r="G184" t="s">
        <v>545</v>
      </c>
      <c r="H184" t="s">
        <v>759</v>
      </c>
      <c r="I184" t="s">
        <v>565</v>
      </c>
    </row>
    <row r="185" spans="1:9" x14ac:dyDescent="0.25">
      <c r="A185" t="s">
        <v>287</v>
      </c>
      <c r="B185" s="11">
        <v>46019</v>
      </c>
      <c r="C185" t="s">
        <v>451</v>
      </c>
      <c r="D185" t="s">
        <v>570</v>
      </c>
      <c r="E185" t="s">
        <v>559</v>
      </c>
      <c r="F185" s="11">
        <v>46031</v>
      </c>
      <c r="G185" t="s">
        <v>545</v>
      </c>
      <c r="H185" t="s">
        <v>760</v>
      </c>
      <c r="I185" t="s">
        <v>561</v>
      </c>
    </row>
    <row r="186" spans="1:9" x14ac:dyDescent="0.25">
      <c r="A186" t="s">
        <v>108</v>
      </c>
      <c r="B186" s="11">
        <v>45994</v>
      </c>
      <c r="C186" t="s">
        <v>455</v>
      </c>
      <c r="D186" t="s">
        <v>570</v>
      </c>
      <c r="E186" t="s">
        <v>559</v>
      </c>
      <c r="F186" s="11">
        <v>46012</v>
      </c>
      <c r="G186" t="s">
        <v>545</v>
      </c>
      <c r="H186" t="s">
        <v>761</v>
      </c>
      <c r="I186" t="s">
        <v>561</v>
      </c>
    </row>
    <row r="187" spans="1:9" x14ac:dyDescent="0.25">
      <c r="A187" t="s">
        <v>123</v>
      </c>
      <c r="B187" s="11">
        <v>46036</v>
      </c>
      <c r="C187" t="s">
        <v>455</v>
      </c>
      <c r="D187" t="s">
        <v>568</v>
      </c>
      <c r="E187" t="s">
        <v>563</v>
      </c>
      <c r="F187" s="11">
        <v>46046</v>
      </c>
      <c r="G187" t="s">
        <v>545</v>
      </c>
      <c r="H187" t="s">
        <v>762</v>
      </c>
      <c r="I187" t="s">
        <v>565</v>
      </c>
    </row>
    <row r="188" spans="1:9" x14ac:dyDescent="0.25">
      <c r="A188" t="s">
        <v>149</v>
      </c>
      <c r="B188" s="11">
        <v>45994</v>
      </c>
      <c r="C188" t="s">
        <v>455</v>
      </c>
      <c r="D188" t="s">
        <v>558</v>
      </c>
      <c r="E188" t="s">
        <v>559</v>
      </c>
      <c r="F188" s="11">
        <v>46004</v>
      </c>
      <c r="G188" t="s">
        <v>545</v>
      </c>
      <c r="H188" t="s">
        <v>763</v>
      </c>
      <c r="I188" t="s">
        <v>561</v>
      </c>
    </row>
    <row r="189" spans="1:9" x14ac:dyDescent="0.25">
      <c r="A189" t="s">
        <v>157</v>
      </c>
      <c r="B189" s="11">
        <v>46023</v>
      </c>
      <c r="C189" t="s">
        <v>455</v>
      </c>
      <c r="D189" t="s">
        <v>558</v>
      </c>
      <c r="E189" t="s">
        <v>559</v>
      </c>
      <c r="F189" s="11">
        <v>46040</v>
      </c>
      <c r="G189" t="s">
        <v>545</v>
      </c>
      <c r="H189" t="s">
        <v>764</v>
      </c>
      <c r="I189" t="s">
        <v>561</v>
      </c>
    </row>
    <row r="190" spans="1:9" x14ac:dyDescent="0.25">
      <c r="A190" t="s">
        <v>193</v>
      </c>
      <c r="B190" s="11">
        <v>45993</v>
      </c>
      <c r="C190" t="s">
        <v>455</v>
      </c>
      <c r="D190" t="s">
        <v>558</v>
      </c>
      <c r="E190" t="s">
        <v>559</v>
      </c>
      <c r="F190" s="11">
        <v>46011</v>
      </c>
      <c r="G190" t="s">
        <v>545</v>
      </c>
      <c r="H190" t="s">
        <v>765</v>
      </c>
      <c r="I190" t="s">
        <v>561</v>
      </c>
    </row>
    <row r="191" spans="1:9" x14ac:dyDescent="0.25">
      <c r="A191" t="s">
        <v>202</v>
      </c>
      <c r="B191" s="11">
        <v>46027</v>
      </c>
      <c r="C191" t="s">
        <v>455</v>
      </c>
      <c r="D191" t="s">
        <v>568</v>
      </c>
      <c r="E191" t="s">
        <v>563</v>
      </c>
      <c r="F191" s="11">
        <v>46042</v>
      </c>
      <c r="G191" t="s">
        <v>545</v>
      </c>
      <c r="H191" t="s">
        <v>766</v>
      </c>
      <c r="I191" t="s">
        <v>565</v>
      </c>
    </row>
    <row r="192" spans="1:9" x14ac:dyDescent="0.25">
      <c r="A192" t="s">
        <v>26</v>
      </c>
      <c r="B192" s="11">
        <v>45999</v>
      </c>
      <c r="C192" t="s">
        <v>458</v>
      </c>
      <c r="D192" t="s">
        <v>570</v>
      </c>
      <c r="E192" t="s">
        <v>559</v>
      </c>
      <c r="F192" s="11">
        <v>46019</v>
      </c>
      <c r="G192" t="s">
        <v>545</v>
      </c>
      <c r="H192" t="s">
        <v>767</v>
      </c>
      <c r="I192" t="s">
        <v>561</v>
      </c>
    </row>
    <row r="193" spans="1:9" x14ac:dyDescent="0.25">
      <c r="A193" t="s">
        <v>160</v>
      </c>
      <c r="B193" s="11">
        <v>46002</v>
      </c>
      <c r="C193" t="s">
        <v>458</v>
      </c>
      <c r="D193" t="s">
        <v>570</v>
      </c>
      <c r="E193" t="s">
        <v>559</v>
      </c>
      <c r="F193" s="11">
        <v>46021</v>
      </c>
      <c r="G193" t="s">
        <v>545</v>
      </c>
      <c r="H193" t="s">
        <v>768</v>
      </c>
      <c r="I193" t="s">
        <v>561</v>
      </c>
    </row>
    <row r="194" spans="1:9" x14ac:dyDescent="0.25">
      <c r="A194" t="s">
        <v>172</v>
      </c>
      <c r="B194" s="11">
        <v>46038</v>
      </c>
      <c r="C194" t="s">
        <v>458</v>
      </c>
      <c r="D194" t="s">
        <v>558</v>
      </c>
      <c r="E194" t="s">
        <v>559</v>
      </c>
      <c r="F194" s="11">
        <v>46055</v>
      </c>
      <c r="G194" t="s">
        <v>545</v>
      </c>
      <c r="H194" t="s">
        <v>769</v>
      </c>
      <c r="I194" t="s">
        <v>561</v>
      </c>
    </row>
    <row r="195" spans="1:9" x14ac:dyDescent="0.25">
      <c r="A195" t="s">
        <v>178</v>
      </c>
      <c r="B195" s="11">
        <v>46026</v>
      </c>
      <c r="C195" t="s">
        <v>458</v>
      </c>
      <c r="D195" t="s">
        <v>558</v>
      </c>
      <c r="E195" t="s">
        <v>559</v>
      </c>
      <c r="F195" s="11">
        <v>46038</v>
      </c>
      <c r="G195" t="s">
        <v>545</v>
      </c>
      <c r="H195" t="s">
        <v>770</v>
      </c>
      <c r="I195" t="s">
        <v>561</v>
      </c>
    </row>
    <row r="196" spans="1:9" x14ac:dyDescent="0.25">
      <c r="A196" t="s">
        <v>180</v>
      </c>
      <c r="B196" s="11">
        <v>46051</v>
      </c>
      <c r="C196" t="s">
        <v>458</v>
      </c>
      <c r="D196" t="s">
        <v>562</v>
      </c>
      <c r="E196" t="s">
        <v>563</v>
      </c>
      <c r="F196" s="11">
        <v>46067</v>
      </c>
      <c r="G196" t="s">
        <v>545</v>
      </c>
      <c r="H196" t="s">
        <v>771</v>
      </c>
      <c r="I196" t="s">
        <v>565</v>
      </c>
    </row>
    <row r="197" spans="1:9" x14ac:dyDescent="0.25">
      <c r="A197" t="s">
        <v>12</v>
      </c>
      <c r="B197" s="11">
        <v>46003</v>
      </c>
      <c r="C197" t="s">
        <v>462</v>
      </c>
      <c r="D197" t="s">
        <v>562</v>
      </c>
      <c r="E197" t="s">
        <v>563</v>
      </c>
      <c r="F197" s="11">
        <v>46014</v>
      </c>
      <c r="G197" t="s">
        <v>545</v>
      </c>
      <c r="H197" t="s">
        <v>772</v>
      </c>
      <c r="I197" t="s">
        <v>565</v>
      </c>
    </row>
    <row r="198" spans="1:9" x14ac:dyDescent="0.25">
      <c r="A198" t="s">
        <v>34</v>
      </c>
      <c r="B198" s="11">
        <v>46040</v>
      </c>
      <c r="C198" t="s">
        <v>462</v>
      </c>
      <c r="D198" t="s">
        <v>562</v>
      </c>
      <c r="E198" t="s">
        <v>563</v>
      </c>
      <c r="F198" s="11">
        <v>46054</v>
      </c>
      <c r="G198" t="s">
        <v>545</v>
      </c>
      <c r="H198" t="s">
        <v>773</v>
      </c>
      <c r="I198" t="s">
        <v>565</v>
      </c>
    </row>
    <row r="199" spans="1:9" x14ac:dyDescent="0.25">
      <c r="A199" t="s">
        <v>52</v>
      </c>
      <c r="B199" s="11">
        <v>46045</v>
      </c>
      <c r="C199" t="s">
        <v>462</v>
      </c>
      <c r="D199" t="s">
        <v>562</v>
      </c>
      <c r="E199" t="s">
        <v>563</v>
      </c>
      <c r="F199" s="11">
        <v>46064</v>
      </c>
      <c r="G199" t="s">
        <v>545</v>
      </c>
      <c r="H199" t="s">
        <v>774</v>
      </c>
      <c r="I199" t="s">
        <v>565</v>
      </c>
    </row>
    <row r="200" spans="1:9" x14ac:dyDescent="0.25">
      <c r="A200" t="s">
        <v>84</v>
      </c>
      <c r="B200" s="11">
        <v>45993</v>
      </c>
      <c r="C200" t="s">
        <v>462</v>
      </c>
      <c r="D200" t="s">
        <v>568</v>
      </c>
      <c r="E200" t="s">
        <v>563</v>
      </c>
      <c r="F200" s="11">
        <v>46013</v>
      </c>
      <c r="G200" t="s">
        <v>545</v>
      </c>
      <c r="H200" t="s">
        <v>775</v>
      </c>
      <c r="I200" t="s">
        <v>565</v>
      </c>
    </row>
    <row r="201" spans="1:9" x14ac:dyDescent="0.25">
      <c r="A201" t="s">
        <v>103</v>
      </c>
      <c r="B201" s="11">
        <v>46047</v>
      </c>
      <c r="C201" t="s">
        <v>462</v>
      </c>
      <c r="D201" t="s">
        <v>570</v>
      </c>
      <c r="E201" t="s">
        <v>559</v>
      </c>
      <c r="F201" s="11">
        <v>46066</v>
      </c>
      <c r="G201" t="s">
        <v>545</v>
      </c>
      <c r="H201" t="s">
        <v>776</v>
      </c>
      <c r="I201" t="s">
        <v>561</v>
      </c>
    </row>
    <row r="202" spans="1:9" x14ac:dyDescent="0.25">
      <c r="A202" t="s">
        <v>168</v>
      </c>
      <c r="B202" s="11">
        <v>46032</v>
      </c>
      <c r="C202" t="s">
        <v>466</v>
      </c>
      <c r="D202" t="s">
        <v>570</v>
      </c>
      <c r="E202" t="s">
        <v>559</v>
      </c>
      <c r="F202" s="11">
        <v>46050</v>
      </c>
      <c r="G202" t="s">
        <v>545</v>
      </c>
      <c r="H202" t="s">
        <v>777</v>
      </c>
      <c r="I202" t="s">
        <v>561</v>
      </c>
    </row>
    <row r="203" spans="1:9" x14ac:dyDescent="0.25">
      <c r="A203" t="s">
        <v>176</v>
      </c>
      <c r="B203" s="11">
        <v>46015</v>
      </c>
      <c r="C203" t="s">
        <v>466</v>
      </c>
      <c r="D203" t="s">
        <v>558</v>
      </c>
      <c r="E203" t="s">
        <v>559</v>
      </c>
      <c r="F203" s="11">
        <v>46030</v>
      </c>
      <c r="G203" t="s">
        <v>545</v>
      </c>
      <c r="H203" t="s">
        <v>778</v>
      </c>
      <c r="I203" t="s">
        <v>561</v>
      </c>
    </row>
    <row r="204" spans="1:9" x14ac:dyDescent="0.25">
      <c r="A204" t="s">
        <v>179</v>
      </c>
      <c r="B204" s="11">
        <v>46022</v>
      </c>
      <c r="C204" t="s">
        <v>466</v>
      </c>
      <c r="D204" t="s">
        <v>562</v>
      </c>
      <c r="E204" t="s">
        <v>563</v>
      </c>
      <c r="F204" s="11">
        <v>46037</v>
      </c>
      <c r="G204" t="s">
        <v>545</v>
      </c>
      <c r="H204" t="s">
        <v>779</v>
      </c>
      <c r="I204" t="s">
        <v>565</v>
      </c>
    </row>
    <row r="205" spans="1:9" x14ac:dyDescent="0.25">
      <c r="A205" t="s">
        <v>234</v>
      </c>
      <c r="B205" s="11">
        <v>46013</v>
      </c>
      <c r="C205" t="s">
        <v>466</v>
      </c>
      <c r="D205" t="s">
        <v>568</v>
      </c>
      <c r="E205" t="s">
        <v>563</v>
      </c>
      <c r="F205" s="11">
        <v>46028</v>
      </c>
      <c r="G205" t="s">
        <v>545</v>
      </c>
      <c r="H205" t="s">
        <v>780</v>
      </c>
      <c r="I205" t="s">
        <v>565</v>
      </c>
    </row>
    <row r="206" spans="1:9" x14ac:dyDescent="0.25">
      <c r="A206" t="s">
        <v>248</v>
      </c>
      <c r="B206" s="11">
        <v>46051</v>
      </c>
      <c r="C206" t="s">
        <v>466</v>
      </c>
      <c r="D206" t="s">
        <v>568</v>
      </c>
      <c r="E206" t="s">
        <v>563</v>
      </c>
      <c r="F206" s="11">
        <v>46061</v>
      </c>
      <c r="G206" t="s">
        <v>545</v>
      </c>
      <c r="H206" t="s">
        <v>781</v>
      </c>
      <c r="I206" t="s">
        <v>565</v>
      </c>
    </row>
    <row r="207" spans="1:9" x14ac:dyDescent="0.25">
      <c r="A207" t="s">
        <v>43</v>
      </c>
      <c r="B207" s="11">
        <v>46051</v>
      </c>
      <c r="C207" t="s">
        <v>469</v>
      </c>
      <c r="D207" t="s">
        <v>568</v>
      </c>
      <c r="E207" t="s">
        <v>563</v>
      </c>
      <c r="F207" s="11">
        <v>46064</v>
      </c>
      <c r="G207" t="s">
        <v>545</v>
      </c>
      <c r="H207" t="s">
        <v>782</v>
      </c>
      <c r="I207" t="s">
        <v>565</v>
      </c>
    </row>
    <row r="208" spans="1:9" x14ac:dyDescent="0.25">
      <c r="A208" t="s">
        <v>44</v>
      </c>
      <c r="B208" s="11">
        <v>45994</v>
      </c>
      <c r="C208" t="s">
        <v>469</v>
      </c>
      <c r="D208" t="s">
        <v>570</v>
      </c>
      <c r="E208" t="s">
        <v>559</v>
      </c>
      <c r="F208" s="11">
        <v>46014</v>
      </c>
      <c r="G208" t="s">
        <v>545</v>
      </c>
      <c r="H208" t="s">
        <v>783</v>
      </c>
      <c r="I208" t="s">
        <v>561</v>
      </c>
    </row>
    <row r="209" spans="1:9" x14ac:dyDescent="0.25">
      <c r="A209" t="s">
        <v>48</v>
      </c>
      <c r="B209" s="11">
        <v>45993</v>
      </c>
      <c r="C209" t="s">
        <v>469</v>
      </c>
      <c r="D209" t="s">
        <v>570</v>
      </c>
      <c r="E209" t="s">
        <v>559</v>
      </c>
      <c r="F209" s="11">
        <v>46005</v>
      </c>
      <c r="G209" t="s">
        <v>545</v>
      </c>
      <c r="H209" t="s">
        <v>784</v>
      </c>
      <c r="I209" t="s">
        <v>785</v>
      </c>
    </row>
    <row r="210" spans="1:9" x14ac:dyDescent="0.25">
      <c r="A210" t="s">
        <v>141</v>
      </c>
      <c r="B210" s="11">
        <v>46025</v>
      </c>
      <c r="C210" t="s">
        <v>469</v>
      </c>
      <c r="D210" t="s">
        <v>562</v>
      </c>
      <c r="E210" t="s">
        <v>563</v>
      </c>
      <c r="F210" s="11">
        <v>46042</v>
      </c>
      <c r="G210" t="s">
        <v>545</v>
      </c>
      <c r="H210" t="s">
        <v>786</v>
      </c>
      <c r="I210" t="s">
        <v>565</v>
      </c>
    </row>
    <row r="211" spans="1:9" x14ac:dyDescent="0.25">
      <c r="A211" t="s">
        <v>167</v>
      </c>
      <c r="B211" s="11">
        <v>46046</v>
      </c>
      <c r="C211" t="s">
        <v>469</v>
      </c>
      <c r="D211" t="s">
        <v>570</v>
      </c>
      <c r="E211" t="s">
        <v>559</v>
      </c>
      <c r="F211" s="11">
        <v>46057</v>
      </c>
      <c r="G211" t="s">
        <v>545</v>
      </c>
      <c r="H211" t="s">
        <v>787</v>
      </c>
      <c r="I211" t="s">
        <v>561</v>
      </c>
    </row>
    <row r="212" spans="1:9" x14ac:dyDescent="0.25">
      <c r="A212" t="s">
        <v>177</v>
      </c>
      <c r="B212" s="11">
        <v>46014</v>
      </c>
      <c r="C212" t="s">
        <v>469</v>
      </c>
      <c r="D212" t="s">
        <v>568</v>
      </c>
      <c r="E212" t="s">
        <v>563</v>
      </c>
      <c r="F212" s="11">
        <v>46034</v>
      </c>
      <c r="G212" t="s">
        <v>545</v>
      </c>
      <c r="H212" t="s">
        <v>788</v>
      </c>
      <c r="I212" t="s">
        <v>565</v>
      </c>
    </row>
    <row r="213" spans="1:9" x14ac:dyDescent="0.25">
      <c r="A213" t="s">
        <v>56</v>
      </c>
      <c r="B213" s="11">
        <v>46021</v>
      </c>
      <c r="C213" t="s">
        <v>473</v>
      </c>
      <c r="D213" t="s">
        <v>562</v>
      </c>
      <c r="E213" t="s">
        <v>563</v>
      </c>
      <c r="F213" s="11">
        <v>46034</v>
      </c>
      <c r="G213" t="s">
        <v>545</v>
      </c>
      <c r="H213" t="s">
        <v>789</v>
      </c>
      <c r="I213" t="s">
        <v>565</v>
      </c>
    </row>
    <row r="214" spans="1:9" x14ac:dyDescent="0.25">
      <c r="A214" t="s">
        <v>58</v>
      </c>
      <c r="B214" s="11">
        <v>45995</v>
      </c>
      <c r="C214" t="s">
        <v>473</v>
      </c>
      <c r="D214" t="s">
        <v>570</v>
      </c>
      <c r="E214" t="s">
        <v>559</v>
      </c>
      <c r="F214" s="11">
        <v>46012</v>
      </c>
      <c r="G214" t="s">
        <v>545</v>
      </c>
      <c r="H214" t="s">
        <v>790</v>
      </c>
      <c r="I214" t="s">
        <v>561</v>
      </c>
    </row>
    <row r="215" spans="1:9" x14ac:dyDescent="0.25">
      <c r="A215" t="s">
        <v>85</v>
      </c>
      <c r="B215" s="11">
        <v>45995</v>
      </c>
      <c r="C215" t="s">
        <v>473</v>
      </c>
      <c r="D215" t="s">
        <v>570</v>
      </c>
      <c r="E215" t="s">
        <v>559</v>
      </c>
      <c r="F215" s="11">
        <v>46005</v>
      </c>
      <c r="G215" t="s">
        <v>545</v>
      </c>
      <c r="H215" t="s">
        <v>791</v>
      </c>
      <c r="I215" t="s">
        <v>561</v>
      </c>
    </row>
    <row r="216" spans="1:9" x14ac:dyDescent="0.25">
      <c r="A216" t="s">
        <v>95</v>
      </c>
      <c r="B216" s="11">
        <v>46016</v>
      </c>
      <c r="C216" t="s">
        <v>473</v>
      </c>
      <c r="D216" t="s">
        <v>562</v>
      </c>
      <c r="E216" t="s">
        <v>563</v>
      </c>
      <c r="F216" s="11">
        <v>46036</v>
      </c>
      <c r="G216" t="s">
        <v>545</v>
      </c>
      <c r="H216" t="s">
        <v>792</v>
      </c>
      <c r="I216" t="s">
        <v>565</v>
      </c>
    </row>
    <row r="217" spans="1:9" x14ac:dyDescent="0.25">
      <c r="A217" t="s">
        <v>144</v>
      </c>
      <c r="B217" s="11">
        <v>45997</v>
      </c>
      <c r="C217" t="s">
        <v>473</v>
      </c>
      <c r="D217" t="s">
        <v>558</v>
      </c>
      <c r="E217" t="s">
        <v>559</v>
      </c>
      <c r="F217" s="11">
        <v>46017</v>
      </c>
      <c r="G217" t="s">
        <v>545</v>
      </c>
      <c r="H217" t="s">
        <v>793</v>
      </c>
      <c r="I217" t="s">
        <v>561</v>
      </c>
    </row>
    <row r="218" spans="1:9" x14ac:dyDescent="0.25">
      <c r="A218" t="s">
        <v>196</v>
      </c>
      <c r="B218" s="11">
        <v>46019</v>
      </c>
      <c r="C218" t="s">
        <v>473</v>
      </c>
      <c r="D218" t="s">
        <v>558</v>
      </c>
      <c r="E218" t="s">
        <v>559</v>
      </c>
      <c r="F218" s="11">
        <v>46037</v>
      </c>
      <c r="G218" t="s">
        <v>545</v>
      </c>
      <c r="H218" t="s">
        <v>794</v>
      </c>
      <c r="I218" t="s">
        <v>561</v>
      </c>
    </row>
    <row r="219" spans="1:9" x14ac:dyDescent="0.25">
      <c r="A219" t="s">
        <v>223</v>
      </c>
      <c r="B219" s="11">
        <v>46011</v>
      </c>
      <c r="C219" t="s">
        <v>473</v>
      </c>
      <c r="D219" t="s">
        <v>568</v>
      </c>
      <c r="E219" t="s">
        <v>563</v>
      </c>
      <c r="F219" s="11">
        <v>46022</v>
      </c>
      <c r="G219" t="s">
        <v>545</v>
      </c>
      <c r="H219" t="s">
        <v>795</v>
      </c>
      <c r="I219" t="s">
        <v>565</v>
      </c>
    </row>
    <row r="220" spans="1:9" x14ac:dyDescent="0.25">
      <c r="A220" t="s">
        <v>239</v>
      </c>
      <c r="B220" s="11">
        <v>46038</v>
      </c>
      <c r="C220" t="s">
        <v>473</v>
      </c>
      <c r="D220" t="s">
        <v>558</v>
      </c>
      <c r="E220" t="s">
        <v>559</v>
      </c>
      <c r="F220" s="11">
        <v>46049</v>
      </c>
      <c r="G220" t="s">
        <v>545</v>
      </c>
      <c r="H220" t="s">
        <v>796</v>
      </c>
      <c r="I220" t="s">
        <v>561</v>
      </c>
    </row>
    <row r="221" spans="1:9" x14ac:dyDescent="0.25">
      <c r="A221" t="s">
        <v>262</v>
      </c>
      <c r="B221" s="11">
        <v>46011</v>
      </c>
      <c r="C221" t="s">
        <v>473</v>
      </c>
      <c r="D221" t="s">
        <v>570</v>
      </c>
      <c r="E221" t="s">
        <v>559</v>
      </c>
      <c r="F221" s="11">
        <v>46027</v>
      </c>
      <c r="G221" t="s">
        <v>545</v>
      </c>
      <c r="H221" t="s">
        <v>797</v>
      </c>
      <c r="I221" t="s">
        <v>561</v>
      </c>
    </row>
    <row r="222" spans="1:9" x14ac:dyDescent="0.25">
      <c r="A222" t="s">
        <v>276</v>
      </c>
      <c r="B222" s="11">
        <v>46036</v>
      </c>
      <c r="C222" t="s">
        <v>473</v>
      </c>
      <c r="D222" t="s">
        <v>570</v>
      </c>
      <c r="E222" t="s">
        <v>559</v>
      </c>
      <c r="F222" s="11">
        <v>46054</v>
      </c>
      <c r="G222" t="s">
        <v>545</v>
      </c>
      <c r="H222" t="s">
        <v>798</v>
      </c>
      <c r="I222" t="s">
        <v>561</v>
      </c>
    </row>
    <row r="223" spans="1:9" x14ac:dyDescent="0.25">
      <c r="A223" t="s">
        <v>16</v>
      </c>
      <c r="B223" s="11">
        <v>46001</v>
      </c>
      <c r="C223" t="s">
        <v>476</v>
      </c>
      <c r="D223" t="s">
        <v>562</v>
      </c>
      <c r="E223" t="s">
        <v>563</v>
      </c>
      <c r="F223" s="11">
        <v>46018</v>
      </c>
      <c r="G223" t="s">
        <v>545</v>
      </c>
      <c r="H223" t="s">
        <v>799</v>
      </c>
      <c r="I223" t="s">
        <v>565</v>
      </c>
    </row>
    <row r="224" spans="1:9" x14ac:dyDescent="0.25">
      <c r="A224" t="s">
        <v>86</v>
      </c>
      <c r="B224" s="11">
        <v>46030</v>
      </c>
      <c r="C224" t="s">
        <v>476</v>
      </c>
      <c r="D224" t="s">
        <v>562</v>
      </c>
      <c r="E224" t="s">
        <v>563</v>
      </c>
      <c r="F224" s="11">
        <v>46046</v>
      </c>
      <c r="G224" t="s">
        <v>545</v>
      </c>
      <c r="H224" t="s">
        <v>800</v>
      </c>
      <c r="I224" t="s">
        <v>565</v>
      </c>
    </row>
    <row r="225" spans="1:9" x14ac:dyDescent="0.25">
      <c r="A225" t="s">
        <v>89</v>
      </c>
      <c r="B225" s="11">
        <v>46034</v>
      </c>
      <c r="C225" t="s">
        <v>476</v>
      </c>
      <c r="D225" t="s">
        <v>562</v>
      </c>
      <c r="E225" t="s">
        <v>563</v>
      </c>
      <c r="F225" s="11">
        <v>46050</v>
      </c>
      <c r="G225" t="s">
        <v>545</v>
      </c>
      <c r="H225" t="s">
        <v>801</v>
      </c>
      <c r="I225" t="s">
        <v>565</v>
      </c>
    </row>
    <row r="226" spans="1:9" x14ac:dyDescent="0.25">
      <c r="A226" t="s">
        <v>135</v>
      </c>
      <c r="B226" s="11">
        <v>46022</v>
      </c>
      <c r="C226" t="s">
        <v>476</v>
      </c>
      <c r="D226" t="s">
        <v>570</v>
      </c>
      <c r="E226" t="s">
        <v>559</v>
      </c>
      <c r="F226" s="11">
        <v>46039</v>
      </c>
      <c r="G226" t="s">
        <v>545</v>
      </c>
      <c r="H226" t="s">
        <v>802</v>
      </c>
      <c r="I226" t="s">
        <v>561</v>
      </c>
    </row>
    <row r="227" spans="1:9" x14ac:dyDescent="0.25">
      <c r="A227" t="s">
        <v>184</v>
      </c>
      <c r="B227" s="11">
        <v>46025</v>
      </c>
      <c r="C227" t="s">
        <v>476</v>
      </c>
      <c r="D227" t="s">
        <v>568</v>
      </c>
      <c r="E227" t="s">
        <v>563</v>
      </c>
      <c r="F227" s="11">
        <v>46036</v>
      </c>
      <c r="G227" t="s">
        <v>545</v>
      </c>
      <c r="H227" t="s">
        <v>803</v>
      </c>
      <c r="I227" t="s">
        <v>565</v>
      </c>
    </row>
    <row r="228" spans="1:9" x14ac:dyDescent="0.25">
      <c r="A228" t="s">
        <v>203</v>
      </c>
      <c r="B228" s="11">
        <v>46050</v>
      </c>
      <c r="C228" t="s">
        <v>476</v>
      </c>
      <c r="D228" t="s">
        <v>570</v>
      </c>
      <c r="E228" t="s">
        <v>559</v>
      </c>
      <c r="F228" s="11">
        <v>46068</v>
      </c>
      <c r="G228" t="s">
        <v>545</v>
      </c>
      <c r="H228" t="s">
        <v>804</v>
      </c>
      <c r="I228" t="s">
        <v>805</v>
      </c>
    </row>
    <row r="229" spans="1:9" x14ac:dyDescent="0.25">
      <c r="A229" t="s">
        <v>280</v>
      </c>
      <c r="B229" s="11">
        <v>45995</v>
      </c>
      <c r="C229" t="s">
        <v>476</v>
      </c>
      <c r="D229" t="s">
        <v>568</v>
      </c>
      <c r="E229" t="s">
        <v>563</v>
      </c>
      <c r="F229" s="11">
        <v>46014</v>
      </c>
      <c r="G229" t="s">
        <v>545</v>
      </c>
      <c r="H229" t="s">
        <v>806</v>
      </c>
      <c r="I229" t="s">
        <v>565</v>
      </c>
    </row>
    <row r="230" spans="1:9" x14ac:dyDescent="0.25">
      <c r="A230" t="s">
        <v>302</v>
      </c>
      <c r="B230" s="11">
        <v>46020</v>
      </c>
      <c r="C230" t="s">
        <v>476</v>
      </c>
      <c r="D230" t="s">
        <v>570</v>
      </c>
      <c r="E230" t="s">
        <v>559</v>
      </c>
      <c r="F230" s="11">
        <v>46032</v>
      </c>
      <c r="G230" t="s">
        <v>545</v>
      </c>
      <c r="H230" t="s">
        <v>807</v>
      </c>
      <c r="I230" t="s">
        <v>561</v>
      </c>
    </row>
    <row r="231" spans="1:9" x14ac:dyDescent="0.25">
      <c r="A231" t="s">
        <v>303</v>
      </c>
      <c r="B231" s="11">
        <v>46031</v>
      </c>
      <c r="C231" t="s">
        <v>476</v>
      </c>
      <c r="D231" t="s">
        <v>558</v>
      </c>
      <c r="E231" t="s">
        <v>559</v>
      </c>
      <c r="F231" s="11">
        <v>46049</v>
      </c>
      <c r="G231" t="s">
        <v>545</v>
      </c>
      <c r="H231" t="s">
        <v>808</v>
      </c>
      <c r="I231" t="s">
        <v>561</v>
      </c>
    </row>
    <row r="232" spans="1:9" x14ac:dyDescent="0.25">
      <c r="A232" t="s">
        <v>308</v>
      </c>
      <c r="B232" s="11">
        <v>45995</v>
      </c>
      <c r="C232" t="s">
        <v>476</v>
      </c>
      <c r="D232" t="s">
        <v>562</v>
      </c>
      <c r="E232" t="s">
        <v>563</v>
      </c>
      <c r="F232" s="11">
        <v>46011</v>
      </c>
      <c r="G232" t="s">
        <v>545</v>
      </c>
      <c r="H232" t="s">
        <v>809</v>
      </c>
      <c r="I232" t="s">
        <v>565</v>
      </c>
    </row>
    <row r="233" spans="1:9" x14ac:dyDescent="0.25">
      <c r="A233" t="s">
        <v>21</v>
      </c>
      <c r="B233" s="11">
        <v>46018</v>
      </c>
      <c r="C233" t="s">
        <v>479</v>
      </c>
      <c r="D233" t="s">
        <v>570</v>
      </c>
      <c r="E233" t="s">
        <v>559</v>
      </c>
      <c r="F233" s="11">
        <v>46028</v>
      </c>
      <c r="G233" t="s">
        <v>545</v>
      </c>
      <c r="H233" t="s">
        <v>810</v>
      </c>
      <c r="I233" t="s">
        <v>679</v>
      </c>
    </row>
    <row r="234" spans="1:9" x14ac:dyDescent="0.25">
      <c r="A234" t="s">
        <v>78</v>
      </c>
      <c r="B234" s="11">
        <v>46027</v>
      </c>
      <c r="C234" t="s">
        <v>479</v>
      </c>
      <c r="D234" t="s">
        <v>562</v>
      </c>
      <c r="E234" t="s">
        <v>563</v>
      </c>
      <c r="F234" s="11">
        <v>46041</v>
      </c>
      <c r="G234" t="s">
        <v>545</v>
      </c>
      <c r="H234" t="s">
        <v>811</v>
      </c>
      <c r="I234" t="s">
        <v>565</v>
      </c>
    </row>
    <row r="235" spans="1:9" x14ac:dyDescent="0.25">
      <c r="A235" t="s">
        <v>55</v>
      </c>
      <c r="B235" s="11">
        <v>46043</v>
      </c>
      <c r="C235" t="s">
        <v>483</v>
      </c>
      <c r="D235" t="s">
        <v>562</v>
      </c>
      <c r="E235" t="s">
        <v>563</v>
      </c>
      <c r="F235" s="11">
        <v>46060</v>
      </c>
      <c r="G235" t="s">
        <v>545</v>
      </c>
      <c r="H235" t="s">
        <v>812</v>
      </c>
      <c r="I235" t="s">
        <v>565</v>
      </c>
    </row>
    <row r="236" spans="1:9" x14ac:dyDescent="0.25">
      <c r="A236" t="s">
        <v>87</v>
      </c>
      <c r="B236" s="11">
        <v>46014</v>
      </c>
      <c r="C236" t="s">
        <v>483</v>
      </c>
      <c r="D236" t="s">
        <v>568</v>
      </c>
      <c r="E236" t="s">
        <v>563</v>
      </c>
      <c r="F236" s="11">
        <v>46028</v>
      </c>
      <c r="G236" t="s">
        <v>545</v>
      </c>
      <c r="H236" t="s">
        <v>813</v>
      </c>
      <c r="I236" t="s">
        <v>565</v>
      </c>
    </row>
    <row r="237" spans="1:9" x14ac:dyDescent="0.25">
      <c r="A237" t="s">
        <v>128</v>
      </c>
      <c r="B237" s="11">
        <v>46005</v>
      </c>
      <c r="C237" t="s">
        <v>483</v>
      </c>
      <c r="D237" t="s">
        <v>568</v>
      </c>
      <c r="E237" t="s">
        <v>563</v>
      </c>
      <c r="F237" s="11">
        <v>46020</v>
      </c>
      <c r="G237" t="s">
        <v>545</v>
      </c>
      <c r="H237" t="s">
        <v>814</v>
      </c>
      <c r="I237" t="s">
        <v>565</v>
      </c>
    </row>
    <row r="238" spans="1:9" x14ac:dyDescent="0.25">
      <c r="A238" t="s">
        <v>134</v>
      </c>
      <c r="B238" s="11">
        <v>46003</v>
      </c>
      <c r="C238" t="s">
        <v>483</v>
      </c>
      <c r="D238" t="s">
        <v>568</v>
      </c>
      <c r="E238" t="s">
        <v>563</v>
      </c>
      <c r="F238" s="11">
        <v>46019</v>
      </c>
      <c r="G238" t="s">
        <v>545</v>
      </c>
      <c r="H238" t="s">
        <v>815</v>
      </c>
      <c r="I238" t="s">
        <v>565</v>
      </c>
    </row>
    <row r="239" spans="1:9" x14ac:dyDescent="0.25">
      <c r="A239" t="s">
        <v>136</v>
      </c>
      <c r="B239" s="11">
        <v>46043</v>
      </c>
      <c r="C239" t="s">
        <v>483</v>
      </c>
      <c r="D239" t="s">
        <v>570</v>
      </c>
      <c r="E239" t="s">
        <v>559</v>
      </c>
      <c r="F239" s="11">
        <v>46059</v>
      </c>
      <c r="G239" t="s">
        <v>545</v>
      </c>
      <c r="H239" t="s">
        <v>816</v>
      </c>
      <c r="I239" t="s">
        <v>561</v>
      </c>
    </row>
    <row r="240" spans="1:9" x14ac:dyDescent="0.25">
      <c r="A240" t="s">
        <v>166</v>
      </c>
      <c r="B240" s="11">
        <v>46051</v>
      </c>
      <c r="C240" t="s">
        <v>483</v>
      </c>
      <c r="D240" t="s">
        <v>568</v>
      </c>
      <c r="E240" t="s">
        <v>563</v>
      </c>
      <c r="F240" s="11">
        <v>46062</v>
      </c>
      <c r="G240" t="s">
        <v>545</v>
      </c>
      <c r="H240" t="s">
        <v>817</v>
      </c>
      <c r="I240" t="s">
        <v>565</v>
      </c>
    </row>
    <row r="241" spans="1:9" x14ac:dyDescent="0.25">
      <c r="A241" t="s">
        <v>209</v>
      </c>
      <c r="B241" s="11">
        <v>46050</v>
      </c>
      <c r="C241" t="s">
        <v>483</v>
      </c>
      <c r="D241" t="s">
        <v>558</v>
      </c>
      <c r="E241" t="s">
        <v>559</v>
      </c>
      <c r="F241" s="11">
        <v>46066</v>
      </c>
      <c r="G241" t="s">
        <v>545</v>
      </c>
      <c r="H241" t="s">
        <v>818</v>
      </c>
      <c r="I241" t="s">
        <v>561</v>
      </c>
    </row>
    <row r="242" spans="1:9" x14ac:dyDescent="0.25">
      <c r="A242" t="s">
        <v>253</v>
      </c>
      <c r="B242" s="11">
        <v>46001</v>
      </c>
      <c r="C242" t="s">
        <v>483</v>
      </c>
      <c r="D242" t="s">
        <v>558</v>
      </c>
      <c r="E242" t="s">
        <v>559</v>
      </c>
      <c r="F242" s="11">
        <v>46018</v>
      </c>
      <c r="G242" t="s">
        <v>545</v>
      </c>
      <c r="H242" t="s">
        <v>819</v>
      </c>
      <c r="I242" t="s">
        <v>820</v>
      </c>
    </row>
    <row r="243" spans="1:9" x14ac:dyDescent="0.25">
      <c r="A243" t="s">
        <v>305</v>
      </c>
      <c r="B243" s="11">
        <v>46031</v>
      </c>
      <c r="C243" t="s">
        <v>483</v>
      </c>
      <c r="D243" t="s">
        <v>562</v>
      </c>
      <c r="E243" t="s">
        <v>563</v>
      </c>
      <c r="F243" s="11">
        <v>46044</v>
      </c>
      <c r="G243" t="s">
        <v>545</v>
      </c>
      <c r="H243" t="s">
        <v>821</v>
      </c>
      <c r="I243" t="s">
        <v>565</v>
      </c>
    </row>
    <row r="244" spans="1:9" x14ac:dyDescent="0.25">
      <c r="A244" t="s">
        <v>42</v>
      </c>
      <c r="B244" s="11">
        <v>46029</v>
      </c>
      <c r="C244" t="s">
        <v>487</v>
      </c>
      <c r="D244" t="s">
        <v>570</v>
      </c>
      <c r="E244" t="s">
        <v>559</v>
      </c>
      <c r="F244" s="11">
        <v>46046</v>
      </c>
      <c r="G244" t="s">
        <v>545</v>
      </c>
      <c r="H244" t="s">
        <v>822</v>
      </c>
      <c r="I244" t="s">
        <v>561</v>
      </c>
    </row>
    <row r="245" spans="1:9" x14ac:dyDescent="0.25">
      <c r="A245" t="s">
        <v>133</v>
      </c>
      <c r="B245" s="11">
        <v>46025</v>
      </c>
      <c r="C245" t="s">
        <v>487</v>
      </c>
      <c r="D245" t="s">
        <v>562</v>
      </c>
      <c r="E245" t="s">
        <v>563</v>
      </c>
      <c r="F245" s="11">
        <v>46043</v>
      </c>
      <c r="G245" t="s">
        <v>545</v>
      </c>
      <c r="H245" t="s">
        <v>823</v>
      </c>
      <c r="I245" t="s">
        <v>565</v>
      </c>
    </row>
    <row r="246" spans="1:9" x14ac:dyDescent="0.25">
      <c r="A246" t="s">
        <v>170</v>
      </c>
      <c r="B246" s="11">
        <v>46006</v>
      </c>
      <c r="C246" t="s">
        <v>487</v>
      </c>
      <c r="D246" t="s">
        <v>570</v>
      </c>
      <c r="E246" t="s">
        <v>559</v>
      </c>
      <c r="F246" s="11">
        <v>46018</v>
      </c>
      <c r="G246" t="s">
        <v>545</v>
      </c>
      <c r="H246" t="s">
        <v>824</v>
      </c>
      <c r="I246" t="s">
        <v>561</v>
      </c>
    </row>
    <row r="247" spans="1:9" x14ac:dyDescent="0.25">
      <c r="A247" t="s">
        <v>173</v>
      </c>
      <c r="B247" s="11">
        <v>46048</v>
      </c>
      <c r="C247" t="s">
        <v>487</v>
      </c>
      <c r="D247" t="s">
        <v>558</v>
      </c>
      <c r="E247" t="s">
        <v>559</v>
      </c>
      <c r="F247" s="11">
        <v>46058</v>
      </c>
      <c r="G247" t="s">
        <v>545</v>
      </c>
      <c r="H247" t="s">
        <v>825</v>
      </c>
      <c r="I247" t="s">
        <v>561</v>
      </c>
    </row>
    <row r="248" spans="1:9" x14ac:dyDescent="0.25">
      <c r="A248" t="s">
        <v>244</v>
      </c>
      <c r="B248" s="11">
        <v>46019</v>
      </c>
      <c r="C248" t="s">
        <v>487</v>
      </c>
      <c r="D248" t="s">
        <v>568</v>
      </c>
      <c r="E248" t="s">
        <v>563</v>
      </c>
      <c r="F248" s="11">
        <v>46035</v>
      </c>
      <c r="G248" t="s">
        <v>545</v>
      </c>
      <c r="H248" t="s">
        <v>826</v>
      </c>
      <c r="I248" t="s">
        <v>565</v>
      </c>
    </row>
    <row r="249" spans="1:9" x14ac:dyDescent="0.25">
      <c r="A249" t="s">
        <v>64</v>
      </c>
      <c r="B249" s="11">
        <v>46028</v>
      </c>
      <c r="C249" t="s">
        <v>490</v>
      </c>
      <c r="D249" t="s">
        <v>562</v>
      </c>
      <c r="E249" t="s">
        <v>563</v>
      </c>
      <c r="F249" s="11">
        <v>46040</v>
      </c>
      <c r="G249" t="s">
        <v>545</v>
      </c>
      <c r="H249" t="s">
        <v>827</v>
      </c>
      <c r="I249" t="s">
        <v>565</v>
      </c>
    </row>
    <row r="250" spans="1:9" x14ac:dyDescent="0.25">
      <c r="A250" t="s">
        <v>98</v>
      </c>
      <c r="B250" s="11">
        <v>46031</v>
      </c>
      <c r="C250" t="s">
        <v>490</v>
      </c>
      <c r="D250" t="s">
        <v>562</v>
      </c>
      <c r="E250" t="s">
        <v>563</v>
      </c>
      <c r="F250" s="11">
        <v>46047</v>
      </c>
      <c r="G250" t="s">
        <v>545</v>
      </c>
      <c r="H250" t="s">
        <v>828</v>
      </c>
      <c r="I250" t="s">
        <v>565</v>
      </c>
    </row>
    <row r="251" spans="1:9" x14ac:dyDescent="0.25">
      <c r="A251" t="s">
        <v>129</v>
      </c>
      <c r="B251" s="11">
        <v>46046</v>
      </c>
      <c r="C251" t="s">
        <v>490</v>
      </c>
      <c r="D251" t="s">
        <v>570</v>
      </c>
      <c r="E251" t="s">
        <v>559</v>
      </c>
      <c r="F251" s="11">
        <v>46056</v>
      </c>
      <c r="G251" t="s">
        <v>545</v>
      </c>
      <c r="H251" t="s">
        <v>829</v>
      </c>
      <c r="I251" t="s">
        <v>561</v>
      </c>
    </row>
    <row r="252" spans="1:9" x14ac:dyDescent="0.25">
      <c r="A252" t="s">
        <v>101</v>
      </c>
      <c r="B252" s="11">
        <v>46003</v>
      </c>
      <c r="C252" t="s">
        <v>494</v>
      </c>
      <c r="D252" t="s">
        <v>562</v>
      </c>
      <c r="E252" t="s">
        <v>563</v>
      </c>
      <c r="F252" s="11">
        <v>46015</v>
      </c>
      <c r="G252" t="s">
        <v>545</v>
      </c>
      <c r="H252" t="s">
        <v>830</v>
      </c>
      <c r="I252" t="s">
        <v>565</v>
      </c>
    </row>
    <row r="253" spans="1:9" x14ac:dyDescent="0.25">
      <c r="A253" t="s">
        <v>257</v>
      </c>
      <c r="B253" s="11">
        <v>46045</v>
      </c>
      <c r="C253" t="s">
        <v>494</v>
      </c>
      <c r="D253" t="s">
        <v>570</v>
      </c>
      <c r="E253" t="s">
        <v>559</v>
      </c>
      <c r="F253" s="11">
        <v>46062</v>
      </c>
      <c r="G253" t="s">
        <v>545</v>
      </c>
      <c r="H253" t="s">
        <v>831</v>
      </c>
      <c r="I253" t="s">
        <v>561</v>
      </c>
    </row>
    <row r="254" spans="1:9" x14ac:dyDescent="0.25">
      <c r="A254" t="s">
        <v>265</v>
      </c>
      <c r="B254" s="11">
        <v>46036</v>
      </c>
      <c r="C254" t="s">
        <v>494</v>
      </c>
      <c r="D254" t="s">
        <v>562</v>
      </c>
      <c r="E254" t="s">
        <v>563</v>
      </c>
      <c r="F254" s="11">
        <v>46053</v>
      </c>
      <c r="G254" t="s">
        <v>545</v>
      </c>
      <c r="H254" t="s">
        <v>832</v>
      </c>
      <c r="I254" t="s">
        <v>565</v>
      </c>
    </row>
    <row r="255" spans="1:9" x14ac:dyDescent="0.25">
      <c r="A255" t="s">
        <v>278</v>
      </c>
      <c r="B255" s="11">
        <v>46037</v>
      </c>
      <c r="C255" t="s">
        <v>494</v>
      </c>
      <c r="D255" t="s">
        <v>558</v>
      </c>
      <c r="E255" t="s">
        <v>559</v>
      </c>
      <c r="F255" s="11">
        <v>46047</v>
      </c>
      <c r="G255" t="s">
        <v>545</v>
      </c>
      <c r="H255" t="s">
        <v>833</v>
      </c>
      <c r="I255" t="s">
        <v>561</v>
      </c>
    </row>
    <row r="256" spans="1:9" x14ac:dyDescent="0.25">
      <c r="A256" t="s">
        <v>301</v>
      </c>
      <c r="B256" s="11">
        <v>46010</v>
      </c>
      <c r="C256" t="s">
        <v>494</v>
      </c>
      <c r="D256" t="s">
        <v>570</v>
      </c>
      <c r="E256" t="s">
        <v>559</v>
      </c>
      <c r="F256" s="11">
        <v>46025</v>
      </c>
      <c r="G256" t="s">
        <v>545</v>
      </c>
      <c r="H256" t="s">
        <v>834</v>
      </c>
      <c r="I256" t="s">
        <v>561</v>
      </c>
    </row>
    <row r="257" spans="1:9" x14ac:dyDescent="0.25">
      <c r="A257" t="s">
        <v>60</v>
      </c>
      <c r="B257" s="11">
        <v>46033</v>
      </c>
      <c r="C257" t="s">
        <v>497</v>
      </c>
      <c r="D257" t="s">
        <v>570</v>
      </c>
      <c r="E257" t="s">
        <v>559</v>
      </c>
      <c r="F257" s="11">
        <v>46049</v>
      </c>
      <c r="G257" t="s">
        <v>545</v>
      </c>
      <c r="H257" t="s">
        <v>835</v>
      </c>
      <c r="I257" t="s">
        <v>836</v>
      </c>
    </row>
    <row r="258" spans="1:9" x14ac:dyDescent="0.25">
      <c r="A258" t="s">
        <v>150</v>
      </c>
      <c r="B258" s="11">
        <v>45994</v>
      </c>
      <c r="C258" t="s">
        <v>497</v>
      </c>
      <c r="D258" t="s">
        <v>562</v>
      </c>
      <c r="E258" t="s">
        <v>563</v>
      </c>
      <c r="F258" s="11">
        <v>46012</v>
      </c>
      <c r="G258" t="s">
        <v>545</v>
      </c>
      <c r="H258" t="s">
        <v>837</v>
      </c>
      <c r="I258" t="s">
        <v>565</v>
      </c>
    </row>
    <row r="259" spans="1:9" x14ac:dyDescent="0.25">
      <c r="A259" t="s">
        <v>225</v>
      </c>
      <c r="B259" s="11">
        <v>46033</v>
      </c>
      <c r="C259" t="s">
        <v>497</v>
      </c>
      <c r="D259" t="s">
        <v>562</v>
      </c>
      <c r="E259" t="s">
        <v>563</v>
      </c>
      <c r="F259" s="11">
        <v>46047</v>
      </c>
      <c r="G259" t="s">
        <v>545</v>
      </c>
      <c r="H259" t="s">
        <v>838</v>
      </c>
      <c r="I259" t="s">
        <v>565</v>
      </c>
    </row>
    <row r="260" spans="1:9" x14ac:dyDescent="0.25">
      <c r="A260" t="s">
        <v>266</v>
      </c>
      <c r="B260" s="11">
        <v>46013</v>
      </c>
      <c r="C260" t="s">
        <v>497</v>
      </c>
      <c r="D260" t="s">
        <v>562</v>
      </c>
      <c r="E260" t="s">
        <v>563</v>
      </c>
      <c r="F260" s="11">
        <v>46027</v>
      </c>
      <c r="G260" t="s">
        <v>545</v>
      </c>
      <c r="H260" t="s">
        <v>839</v>
      </c>
      <c r="I260" t="s">
        <v>565</v>
      </c>
    </row>
    <row r="261" spans="1:9" x14ac:dyDescent="0.25">
      <c r="A261" t="s">
        <v>300</v>
      </c>
      <c r="B261" s="11">
        <v>46012</v>
      </c>
      <c r="C261" t="s">
        <v>497</v>
      </c>
      <c r="D261" t="s">
        <v>558</v>
      </c>
      <c r="E261" t="s">
        <v>559</v>
      </c>
      <c r="F261" s="11">
        <v>46025</v>
      </c>
      <c r="G261" t="s">
        <v>545</v>
      </c>
      <c r="H261" t="s">
        <v>840</v>
      </c>
      <c r="I261" t="s">
        <v>561</v>
      </c>
    </row>
    <row r="262" spans="1:9" x14ac:dyDescent="0.25">
      <c r="A262" t="s">
        <v>28</v>
      </c>
      <c r="B262" s="11">
        <v>46039</v>
      </c>
      <c r="C262" t="s">
        <v>500</v>
      </c>
      <c r="D262" t="s">
        <v>558</v>
      </c>
      <c r="E262" t="s">
        <v>559</v>
      </c>
      <c r="F262" s="11">
        <v>46057</v>
      </c>
      <c r="G262" t="s">
        <v>545</v>
      </c>
      <c r="H262" t="s">
        <v>841</v>
      </c>
      <c r="I262" t="s">
        <v>561</v>
      </c>
    </row>
    <row r="263" spans="1:9" x14ac:dyDescent="0.25">
      <c r="A263" t="s">
        <v>111</v>
      </c>
      <c r="B263" s="11">
        <v>45993</v>
      </c>
      <c r="C263" t="s">
        <v>500</v>
      </c>
      <c r="D263" t="s">
        <v>570</v>
      </c>
      <c r="E263" t="s">
        <v>559</v>
      </c>
      <c r="F263" s="11">
        <v>46009</v>
      </c>
      <c r="G263" t="s">
        <v>545</v>
      </c>
      <c r="H263" t="s">
        <v>842</v>
      </c>
      <c r="I263" t="s">
        <v>561</v>
      </c>
    </row>
    <row r="264" spans="1:9" x14ac:dyDescent="0.25">
      <c r="A264" t="s">
        <v>112</v>
      </c>
      <c r="B264" s="11">
        <v>46028</v>
      </c>
      <c r="C264" t="s">
        <v>500</v>
      </c>
      <c r="D264" t="s">
        <v>562</v>
      </c>
      <c r="E264" t="s">
        <v>563</v>
      </c>
      <c r="F264" s="11">
        <v>46044</v>
      </c>
      <c r="G264" t="s">
        <v>545</v>
      </c>
      <c r="H264" t="s">
        <v>843</v>
      </c>
      <c r="I264" t="s">
        <v>565</v>
      </c>
    </row>
    <row r="265" spans="1:9" x14ac:dyDescent="0.25">
      <c r="A265" t="s">
        <v>165</v>
      </c>
      <c r="B265" s="11">
        <v>46026</v>
      </c>
      <c r="C265" t="s">
        <v>500</v>
      </c>
      <c r="D265" t="s">
        <v>558</v>
      </c>
      <c r="E265" t="s">
        <v>559</v>
      </c>
      <c r="F265" s="11">
        <v>46043</v>
      </c>
      <c r="G265" t="s">
        <v>545</v>
      </c>
      <c r="H265" t="s">
        <v>844</v>
      </c>
      <c r="I265" t="s">
        <v>561</v>
      </c>
    </row>
    <row r="266" spans="1:9" x14ac:dyDescent="0.25">
      <c r="A266" t="s">
        <v>174</v>
      </c>
      <c r="B266" s="11">
        <v>46050</v>
      </c>
      <c r="C266" t="s">
        <v>500</v>
      </c>
      <c r="D266" t="s">
        <v>568</v>
      </c>
      <c r="E266" t="s">
        <v>563</v>
      </c>
      <c r="F266" s="11">
        <v>46060</v>
      </c>
      <c r="G266" t="s">
        <v>545</v>
      </c>
      <c r="H266" t="s">
        <v>845</v>
      </c>
      <c r="I266" t="s">
        <v>565</v>
      </c>
    </row>
    <row r="267" spans="1:9" x14ac:dyDescent="0.25">
      <c r="A267" t="s">
        <v>226</v>
      </c>
      <c r="B267" s="11">
        <v>46046</v>
      </c>
      <c r="C267" t="s">
        <v>500</v>
      </c>
      <c r="D267" t="s">
        <v>562</v>
      </c>
      <c r="E267" t="s">
        <v>563</v>
      </c>
      <c r="F267" s="11">
        <v>46061</v>
      </c>
      <c r="G267" t="s">
        <v>545</v>
      </c>
      <c r="H267" t="s">
        <v>846</v>
      </c>
      <c r="I267" t="s">
        <v>565</v>
      </c>
    </row>
    <row r="268" spans="1:9" x14ac:dyDescent="0.25">
      <c r="A268" t="s">
        <v>158</v>
      </c>
      <c r="B268" s="11">
        <v>46002</v>
      </c>
      <c r="C268" t="s">
        <v>504</v>
      </c>
      <c r="D268" t="s">
        <v>570</v>
      </c>
      <c r="E268" t="s">
        <v>559</v>
      </c>
      <c r="F268" s="11">
        <v>46014</v>
      </c>
      <c r="G268" t="s">
        <v>545</v>
      </c>
      <c r="H268" t="s">
        <v>847</v>
      </c>
      <c r="I268" t="s">
        <v>561</v>
      </c>
    </row>
    <row r="269" spans="1:9" x14ac:dyDescent="0.25">
      <c r="A269" t="s">
        <v>220</v>
      </c>
      <c r="B269" s="11">
        <v>46048</v>
      </c>
      <c r="C269" t="s">
        <v>504</v>
      </c>
      <c r="D269" t="s">
        <v>562</v>
      </c>
      <c r="E269" t="s">
        <v>563</v>
      </c>
      <c r="F269" s="11">
        <v>46058</v>
      </c>
      <c r="G269" t="s">
        <v>545</v>
      </c>
      <c r="H269" t="s">
        <v>848</v>
      </c>
      <c r="I269" t="s">
        <v>565</v>
      </c>
    </row>
    <row r="270" spans="1:9" x14ac:dyDescent="0.25">
      <c r="A270" t="s">
        <v>297</v>
      </c>
      <c r="B270" s="11">
        <v>46049</v>
      </c>
      <c r="C270" t="s">
        <v>504</v>
      </c>
      <c r="D270" t="s">
        <v>568</v>
      </c>
      <c r="E270" t="s">
        <v>563</v>
      </c>
      <c r="F270" s="11">
        <v>46061</v>
      </c>
      <c r="G270" t="s">
        <v>545</v>
      </c>
      <c r="H270" t="s">
        <v>849</v>
      </c>
      <c r="I270" t="s">
        <v>565</v>
      </c>
    </row>
    <row r="271" spans="1:9" x14ac:dyDescent="0.25">
      <c r="A271" t="s">
        <v>66</v>
      </c>
      <c r="B271" s="11">
        <v>46046</v>
      </c>
      <c r="C271" t="s">
        <v>507</v>
      </c>
      <c r="D271" t="s">
        <v>568</v>
      </c>
      <c r="E271" t="s">
        <v>563</v>
      </c>
      <c r="F271" s="11">
        <v>46059</v>
      </c>
      <c r="G271" t="s">
        <v>545</v>
      </c>
      <c r="H271" t="s">
        <v>850</v>
      </c>
      <c r="I271" t="s">
        <v>565</v>
      </c>
    </row>
    <row r="272" spans="1:9" x14ac:dyDescent="0.25">
      <c r="A272" t="s">
        <v>109</v>
      </c>
      <c r="B272" s="11">
        <v>46022</v>
      </c>
      <c r="C272" t="s">
        <v>507</v>
      </c>
      <c r="D272" t="s">
        <v>562</v>
      </c>
      <c r="E272" t="s">
        <v>563</v>
      </c>
      <c r="F272" s="11">
        <v>46032</v>
      </c>
      <c r="G272" t="s">
        <v>545</v>
      </c>
      <c r="H272" t="s">
        <v>851</v>
      </c>
      <c r="I272" t="s">
        <v>565</v>
      </c>
    </row>
    <row r="273" spans="1:9" x14ac:dyDescent="0.25">
      <c r="A273" t="s">
        <v>249</v>
      </c>
      <c r="B273" s="11">
        <v>46039</v>
      </c>
      <c r="C273" t="s">
        <v>507</v>
      </c>
      <c r="D273" t="s">
        <v>568</v>
      </c>
      <c r="E273" t="s">
        <v>563</v>
      </c>
      <c r="F273" s="11">
        <v>46056</v>
      </c>
      <c r="G273" t="s">
        <v>545</v>
      </c>
      <c r="H273" t="s">
        <v>852</v>
      </c>
      <c r="I273" t="s">
        <v>565</v>
      </c>
    </row>
    <row r="274" spans="1:9" x14ac:dyDescent="0.25">
      <c r="A274" t="s">
        <v>53</v>
      </c>
      <c r="B274" s="11">
        <v>46023</v>
      </c>
      <c r="C274" t="s">
        <v>510</v>
      </c>
      <c r="D274" t="s">
        <v>562</v>
      </c>
      <c r="E274" t="s">
        <v>563</v>
      </c>
      <c r="F274" s="11">
        <v>46034</v>
      </c>
      <c r="G274" t="s">
        <v>545</v>
      </c>
      <c r="H274" t="s">
        <v>853</v>
      </c>
      <c r="I274" t="s">
        <v>565</v>
      </c>
    </row>
    <row r="275" spans="1:9" x14ac:dyDescent="0.25">
      <c r="A275" t="s">
        <v>90</v>
      </c>
      <c r="B275" s="11">
        <v>46051</v>
      </c>
      <c r="C275" t="s">
        <v>510</v>
      </c>
      <c r="D275" t="s">
        <v>558</v>
      </c>
      <c r="E275" t="s">
        <v>559</v>
      </c>
      <c r="F275" s="11">
        <v>46068</v>
      </c>
      <c r="G275" t="s">
        <v>545</v>
      </c>
      <c r="H275" t="s">
        <v>854</v>
      </c>
      <c r="I275" t="s">
        <v>561</v>
      </c>
    </row>
    <row r="276" spans="1:9" x14ac:dyDescent="0.25">
      <c r="A276" t="s">
        <v>96</v>
      </c>
      <c r="B276" s="11">
        <v>46021</v>
      </c>
      <c r="C276" t="s">
        <v>510</v>
      </c>
      <c r="D276" t="s">
        <v>568</v>
      </c>
      <c r="E276" t="s">
        <v>563</v>
      </c>
      <c r="F276" s="11">
        <v>46035</v>
      </c>
      <c r="G276" t="s">
        <v>545</v>
      </c>
      <c r="H276" t="s">
        <v>855</v>
      </c>
      <c r="I276" t="s">
        <v>565</v>
      </c>
    </row>
    <row r="277" spans="1:9" x14ac:dyDescent="0.25">
      <c r="A277" t="s">
        <v>122</v>
      </c>
      <c r="B277" s="11">
        <v>46028</v>
      </c>
      <c r="C277" t="s">
        <v>510</v>
      </c>
      <c r="D277" t="s">
        <v>562</v>
      </c>
      <c r="E277" t="s">
        <v>563</v>
      </c>
      <c r="F277" s="11">
        <v>46039</v>
      </c>
      <c r="G277" t="s">
        <v>545</v>
      </c>
      <c r="H277" t="s">
        <v>856</v>
      </c>
      <c r="I277" t="s">
        <v>565</v>
      </c>
    </row>
    <row r="278" spans="1:9" x14ac:dyDescent="0.25">
      <c r="A278" t="s">
        <v>183</v>
      </c>
      <c r="B278" s="11">
        <v>46037</v>
      </c>
      <c r="C278" t="s">
        <v>510</v>
      </c>
      <c r="D278" t="s">
        <v>568</v>
      </c>
      <c r="E278" t="s">
        <v>563</v>
      </c>
      <c r="F278" s="11">
        <v>46052</v>
      </c>
      <c r="G278" t="s">
        <v>545</v>
      </c>
      <c r="H278" t="s">
        <v>591</v>
      </c>
      <c r="I278" t="s">
        <v>565</v>
      </c>
    </row>
    <row r="279" spans="1:9" x14ac:dyDescent="0.25">
      <c r="A279" t="s">
        <v>36</v>
      </c>
      <c r="B279" s="11">
        <v>46028</v>
      </c>
      <c r="C279" t="s">
        <v>514</v>
      </c>
      <c r="D279" t="s">
        <v>568</v>
      </c>
      <c r="E279" t="s">
        <v>563</v>
      </c>
      <c r="F279" s="11">
        <v>46041</v>
      </c>
      <c r="G279" t="s">
        <v>545</v>
      </c>
      <c r="H279" t="s">
        <v>857</v>
      </c>
      <c r="I279" t="s">
        <v>565</v>
      </c>
    </row>
    <row r="280" spans="1:9" x14ac:dyDescent="0.25">
      <c r="A280" t="s">
        <v>40</v>
      </c>
      <c r="B280" s="11">
        <v>46046</v>
      </c>
      <c r="C280" t="s">
        <v>514</v>
      </c>
      <c r="D280" t="s">
        <v>558</v>
      </c>
      <c r="E280" t="s">
        <v>559</v>
      </c>
      <c r="F280" s="11">
        <v>46063</v>
      </c>
      <c r="G280" t="s">
        <v>545</v>
      </c>
      <c r="H280" t="s">
        <v>858</v>
      </c>
      <c r="I280" t="s">
        <v>561</v>
      </c>
    </row>
    <row r="281" spans="1:9" x14ac:dyDescent="0.25">
      <c r="A281" t="s">
        <v>74</v>
      </c>
      <c r="B281" s="11">
        <v>46022</v>
      </c>
      <c r="C281" t="s">
        <v>514</v>
      </c>
      <c r="D281" t="s">
        <v>570</v>
      </c>
      <c r="E281" t="s">
        <v>559</v>
      </c>
      <c r="F281" s="11">
        <v>46034</v>
      </c>
      <c r="G281" t="s">
        <v>545</v>
      </c>
      <c r="H281" t="s">
        <v>859</v>
      </c>
      <c r="I281" t="s">
        <v>561</v>
      </c>
    </row>
    <row r="282" spans="1:9" x14ac:dyDescent="0.25">
      <c r="A282" t="s">
        <v>113</v>
      </c>
      <c r="B282" s="11">
        <v>45998</v>
      </c>
      <c r="C282" t="s">
        <v>514</v>
      </c>
      <c r="D282" t="s">
        <v>558</v>
      </c>
      <c r="E282" t="s">
        <v>559</v>
      </c>
      <c r="F282" s="11">
        <v>46009</v>
      </c>
      <c r="G282" t="s">
        <v>545</v>
      </c>
      <c r="H282" t="s">
        <v>860</v>
      </c>
      <c r="I282" t="s">
        <v>561</v>
      </c>
    </row>
    <row r="283" spans="1:9" x14ac:dyDescent="0.25">
      <c r="A283" t="s">
        <v>161</v>
      </c>
      <c r="B283" s="11">
        <v>46035</v>
      </c>
      <c r="C283" t="s">
        <v>514</v>
      </c>
      <c r="D283" t="s">
        <v>570</v>
      </c>
      <c r="E283" t="s">
        <v>559</v>
      </c>
      <c r="F283" s="11">
        <v>46050</v>
      </c>
      <c r="G283" t="s">
        <v>545</v>
      </c>
      <c r="H283" t="s">
        <v>861</v>
      </c>
      <c r="I283" t="s">
        <v>561</v>
      </c>
    </row>
    <row r="284" spans="1:9" x14ac:dyDescent="0.25">
      <c r="A284" t="s">
        <v>192</v>
      </c>
      <c r="B284" s="11">
        <v>45999</v>
      </c>
      <c r="C284" t="s">
        <v>514</v>
      </c>
      <c r="D284" t="s">
        <v>562</v>
      </c>
      <c r="E284" t="s">
        <v>563</v>
      </c>
      <c r="F284" s="11">
        <v>46012</v>
      </c>
      <c r="G284" t="s">
        <v>545</v>
      </c>
      <c r="H284" t="s">
        <v>862</v>
      </c>
      <c r="I284" t="s">
        <v>565</v>
      </c>
    </row>
    <row r="285" spans="1:9" x14ac:dyDescent="0.25">
      <c r="A285" t="s">
        <v>194</v>
      </c>
      <c r="B285" s="11">
        <v>46006</v>
      </c>
      <c r="C285" t="s">
        <v>514</v>
      </c>
      <c r="D285" t="s">
        <v>570</v>
      </c>
      <c r="E285" t="s">
        <v>559</v>
      </c>
      <c r="F285" s="11">
        <v>46017</v>
      </c>
      <c r="G285" t="s">
        <v>545</v>
      </c>
      <c r="H285" t="s">
        <v>863</v>
      </c>
      <c r="I285" t="s">
        <v>561</v>
      </c>
    </row>
    <row r="286" spans="1:9" x14ac:dyDescent="0.25">
      <c r="A286" t="s">
        <v>200</v>
      </c>
      <c r="B286" s="11">
        <v>46040</v>
      </c>
      <c r="C286" t="s">
        <v>514</v>
      </c>
      <c r="D286" t="s">
        <v>568</v>
      </c>
      <c r="E286" t="s">
        <v>563</v>
      </c>
      <c r="F286" s="11">
        <v>46054</v>
      </c>
      <c r="G286" t="s">
        <v>545</v>
      </c>
      <c r="H286" t="s">
        <v>864</v>
      </c>
      <c r="I286" t="s">
        <v>565</v>
      </c>
    </row>
    <row r="287" spans="1:9" x14ac:dyDescent="0.25">
      <c r="A287" t="s">
        <v>246</v>
      </c>
      <c r="B287" s="11">
        <v>46048</v>
      </c>
      <c r="C287" t="s">
        <v>514</v>
      </c>
      <c r="D287" t="s">
        <v>568</v>
      </c>
      <c r="E287" t="s">
        <v>563</v>
      </c>
      <c r="F287" s="11">
        <v>46066</v>
      </c>
      <c r="G287" t="s">
        <v>545</v>
      </c>
      <c r="H287" t="s">
        <v>865</v>
      </c>
      <c r="I287" t="s">
        <v>565</v>
      </c>
    </row>
    <row r="288" spans="1:9" x14ac:dyDescent="0.25">
      <c r="A288" t="s">
        <v>286</v>
      </c>
      <c r="B288" s="11">
        <v>46025</v>
      </c>
      <c r="C288" t="s">
        <v>514</v>
      </c>
      <c r="D288" t="s">
        <v>558</v>
      </c>
      <c r="E288" t="s">
        <v>559</v>
      </c>
      <c r="F288" s="11">
        <v>46042</v>
      </c>
      <c r="G288" t="s">
        <v>545</v>
      </c>
      <c r="H288" t="s">
        <v>866</v>
      </c>
      <c r="I288" t="s">
        <v>561</v>
      </c>
    </row>
    <row r="289" spans="1:9" x14ac:dyDescent="0.25">
      <c r="A289" t="s">
        <v>307</v>
      </c>
      <c r="B289" s="11">
        <v>46004</v>
      </c>
      <c r="C289" t="s">
        <v>514</v>
      </c>
      <c r="D289" t="s">
        <v>568</v>
      </c>
      <c r="E289" t="s">
        <v>563</v>
      </c>
      <c r="F289" s="11">
        <v>46021</v>
      </c>
      <c r="G289" t="s">
        <v>545</v>
      </c>
      <c r="H289" t="s">
        <v>867</v>
      </c>
      <c r="I289" t="s">
        <v>565</v>
      </c>
    </row>
    <row r="290" spans="1:9" x14ac:dyDescent="0.25">
      <c r="A290" t="s">
        <v>17</v>
      </c>
      <c r="B290" s="11">
        <v>46038</v>
      </c>
      <c r="C290" t="s">
        <v>518</v>
      </c>
      <c r="D290" t="s">
        <v>562</v>
      </c>
      <c r="E290" t="s">
        <v>563</v>
      </c>
      <c r="F290" s="11">
        <v>46049</v>
      </c>
      <c r="G290" t="s">
        <v>545</v>
      </c>
      <c r="H290" t="s">
        <v>868</v>
      </c>
      <c r="I290" t="s">
        <v>565</v>
      </c>
    </row>
    <row r="291" spans="1:9" x14ac:dyDescent="0.25">
      <c r="A291" t="s">
        <v>91</v>
      </c>
      <c r="B291" s="11">
        <v>46037</v>
      </c>
      <c r="C291" t="s">
        <v>518</v>
      </c>
      <c r="D291" t="s">
        <v>562</v>
      </c>
      <c r="E291" t="s">
        <v>563</v>
      </c>
      <c r="F291" s="11">
        <v>46055</v>
      </c>
      <c r="G291" t="s">
        <v>545</v>
      </c>
      <c r="H291" t="s">
        <v>869</v>
      </c>
      <c r="I291" t="s">
        <v>565</v>
      </c>
    </row>
    <row r="292" spans="1:9" x14ac:dyDescent="0.25">
      <c r="A292" t="s">
        <v>229</v>
      </c>
      <c r="B292" s="11">
        <v>46037</v>
      </c>
      <c r="C292" t="s">
        <v>518</v>
      </c>
      <c r="D292" t="s">
        <v>562</v>
      </c>
      <c r="E292" t="s">
        <v>563</v>
      </c>
      <c r="F292" s="11">
        <v>46047</v>
      </c>
      <c r="G292" t="s">
        <v>545</v>
      </c>
      <c r="H292" t="s">
        <v>870</v>
      </c>
      <c r="I292" t="s">
        <v>565</v>
      </c>
    </row>
    <row r="293" spans="1:9" x14ac:dyDescent="0.25">
      <c r="A293" t="s">
        <v>242</v>
      </c>
      <c r="B293" s="11">
        <v>45995</v>
      </c>
      <c r="C293" t="s">
        <v>518</v>
      </c>
      <c r="D293" t="s">
        <v>558</v>
      </c>
      <c r="E293" t="s">
        <v>559</v>
      </c>
      <c r="F293" s="11">
        <v>46011</v>
      </c>
      <c r="G293" t="s">
        <v>545</v>
      </c>
      <c r="H293" t="s">
        <v>871</v>
      </c>
      <c r="I293" t="s">
        <v>872</v>
      </c>
    </row>
    <row r="294" spans="1:9" x14ac:dyDescent="0.25">
      <c r="A294" t="s">
        <v>256</v>
      </c>
      <c r="B294" s="11">
        <v>46031</v>
      </c>
      <c r="C294" t="s">
        <v>518</v>
      </c>
      <c r="D294" t="s">
        <v>558</v>
      </c>
      <c r="E294" t="s">
        <v>559</v>
      </c>
      <c r="F294" s="11">
        <v>46049</v>
      </c>
      <c r="G294" t="s">
        <v>545</v>
      </c>
      <c r="H294" t="s">
        <v>873</v>
      </c>
      <c r="I294" t="s">
        <v>561</v>
      </c>
    </row>
    <row r="295" spans="1:9" x14ac:dyDescent="0.25">
      <c r="A295" t="s">
        <v>199</v>
      </c>
      <c r="B295" s="11">
        <v>46044</v>
      </c>
      <c r="C295" t="s">
        <v>522</v>
      </c>
      <c r="D295" t="s">
        <v>562</v>
      </c>
      <c r="E295" t="s">
        <v>563</v>
      </c>
      <c r="F295" s="11">
        <v>46060</v>
      </c>
      <c r="G295" t="s">
        <v>545</v>
      </c>
      <c r="H295" t="s">
        <v>874</v>
      </c>
      <c r="I295" t="s">
        <v>565</v>
      </c>
    </row>
    <row r="296" spans="1:9" x14ac:dyDescent="0.25">
      <c r="A296" t="s">
        <v>230</v>
      </c>
      <c r="B296" s="11">
        <v>46024</v>
      </c>
      <c r="C296" t="s">
        <v>522</v>
      </c>
      <c r="D296" t="s">
        <v>568</v>
      </c>
      <c r="E296" t="s">
        <v>563</v>
      </c>
      <c r="F296" s="11">
        <v>46035</v>
      </c>
      <c r="G296" t="s">
        <v>545</v>
      </c>
      <c r="H296" t="s">
        <v>875</v>
      </c>
      <c r="I296" t="s">
        <v>565</v>
      </c>
    </row>
    <row r="297" spans="1:9" x14ac:dyDescent="0.25">
      <c r="A297" t="s">
        <v>294</v>
      </c>
      <c r="B297" s="11">
        <v>46041</v>
      </c>
      <c r="C297" t="s">
        <v>522</v>
      </c>
      <c r="D297" t="s">
        <v>562</v>
      </c>
      <c r="E297" t="s">
        <v>563</v>
      </c>
      <c r="F297" s="11">
        <v>46053</v>
      </c>
      <c r="G297" t="s">
        <v>545</v>
      </c>
      <c r="H297" t="s">
        <v>876</v>
      </c>
      <c r="I297" t="s">
        <v>565</v>
      </c>
    </row>
    <row r="298" spans="1:9" x14ac:dyDescent="0.25">
      <c r="A298" t="s">
        <v>309</v>
      </c>
      <c r="B298" s="11">
        <v>46000</v>
      </c>
      <c r="C298" t="s">
        <v>522</v>
      </c>
      <c r="D298" t="s">
        <v>570</v>
      </c>
      <c r="E298" t="s">
        <v>559</v>
      </c>
      <c r="F298" s="11">
        <v>46015</v>
      </c>
      <c r="G298" t="s">
        <v>545</v>
      </c>
      <c r="H298" t="s">
        <v>877</v>
      </c>
      <c r="I298" t="s">
        <v>561</v>
      </c>
    </row>
    <row r="299" spans="1:9" x14ac:dyDescent="0.25">
      <c r="A299" t="s">
        <v>35</v>
      </c>
      <c r="B299" s="11">
        <v>46010</v>
      </c>
      <c r="C299" t="s">
        <v>526</v>
      </c>
      <c r="D299" t="s">
        <v>562</v>
      </c>
      <c r="E299" t="s">
        <v>563</v>
      </c>
      <c r="F299" s="11">
        <v>46021</v>
      </c>
      <c r="G299" t="s">
        <v>545</v>
      </c>
      <c r="H299" t="s">
        <v>878</v>
      </c>
      <c r="I299" t="s">
        <v>565</v>
      </c>
    </row>
    <row r="300" spans="1:9" x14ac:dyDescent="0.25">
      <c r="A300" t="s">
        <v>219</v>
      </c>
      <c r="B300" s="11">
        <v>46027</v>
      </c>
      <c r="C300" t="s">
        <v>526</v>
      </c>
      <c r="D300" t="s">
        <v>570</v>
      </c>
      <c r="E300" t="s">
        <v>559</v>
      </c>
      <c r="F300" s="11">
        <v>46042</v>
      </c>
      <c r="G300" t="s">
        <v>545</v>
      </c>
      <c r="H300" t="s">
        <v>879</v>
      </c>
      <c r="I300" t="s">
        <v>561</v>
      </c>
    </row>
    <row r="301" spans="1:9" x14ac:dyDescent="0.25">
      <c r="A301" t="s">
        <v>260</v>
      </c>
      <c r="B301" s="11">
        <v>46045</v>
      </c>
      <c r="C301" t="s">
        <v>526</v>
      </c>
      <c r="D301" t="s">
        <v>568</v>
      </c>
      <c r="E301" t="s">
        <v>563</v>
      </c>
      <c r="F301" s="11">
        <v>46063</v>
      </c>
      <c r="G301" t="s">
        <v>545</v>
      </c>
      <c r="H301" t="s">
        <v>880</v>
      </c>
      <c r="I301" t="s">
        <v>565</v>
      </c>
    </row>
  </sheetData>
  <dataValidations count="2">
    <dataValidation type="list" allowBlank="1" sqref="D2:D301" xr:uid="{00000000-0002-0000-0300-000000000000}">
      <formula1>"Pending,Processing,Shipped,Delivered,Cancelled"</formula1>
    </dataValidation>
    <dataValidation type="list" allowBlank="1" sqref="E2:E301" xr:uid="{00000000-0002-0000-0300-000001000000}">
      <formula1>"Unpaid,Paid,Refunded"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4"/>
  <sheetViews>
    <sheetView tabSelected="1" workbookViewId="0">
      <pane ySplit="1" topLeftCell="A82" activePane="bottomLeft" state="frozen"/>
      <selection pane="bottomLeft" activeCell="H417" sqref="H417"/>
    </sheetView>
  </sheetViews>
  <sheetFormatPr defaultColWidth="15.7109375" defaultRowHeight="15" x14ac:dyDescent="0.25"/>
  <sheetData>
    <row r="1" spans="1:6" ht="20.10000000000000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5">
        <v>1</v>
      </c>
      <c r="B2" s="5" t="s">
        <v>6</v>
      </c>
      <c r="C2" s="5" t="s">
        <v>7</v>
      </c>
      <c r="D2" s="5">
        <v>6979</v>
      </c>
      <c r="E2" s="12">
        <v>2.6</v>
      </c>
      <c r="F2" s="12">
        <v>18145.400000000001</v>
      </c>
    </row>
    <row r="3" spans="1:6" x14ac:dyDescent="0.25">
      <c r="A3" s="5">
        <v>2</v>
      </c>
      <c r="B3" s="5" t="s">
        <v>6</v>
      </c>
      <c r="C3" s="5" t="s">
        <v>8</v>
      </c>
      <c r="D3" s="5">
        <v>2055</v>
      </c>
      <c r="E3" s="12">
        <v>2.4</v>
      </c>
      <c r="F3" s="12">
        <v>4932</v>
      </c>
    </row>
    <row r="4" spans="1:6" x14ac:dyDescent="0.25">
      <c r="A4" s="5">
        <v>3</v>
      </c>
      <c r="B4" s="5" t="s">
        <v>6</v>
      </c>
      <c r="C4" s="5" t="s">
        <v>9</v>
      </c>
      <c r="D4" s="5">
        <v>282</v>
      </c>
      <c r="E4" s="12">
        <v>79.900000000000006</v>
      </c>
      <c r="F4" s="12">
        <v>22531.8</v>
      </c>
    </row>
    <row r="5" spans="1:6" x14ac:dyDescent="0.25">
      <c r="A5" s="5">
        <v>4</v>
      </c>
      <c r="B5" s="5" t="s">
        <v>6</v>
      </c>
      <c r="C5" s="5" t="s">
        <v>10</v>
      </c>
      <c r="D5" s="5">
        <v>644</v>
      </c>
      <c r="E5" s="12">
        <v>9.5</v>
      </c>
      <c r="F5" s="12">
        <v>6118</v>
      </c>
    </row>
    <row r="6" spans="1:6" x14ac:dyDescent="0.25">
      <c r="A6" s="5">
        <v>5</v>
      </c>
      <c r="B6" s="5" t="s">
        <v>11</v>
      </c>
      <c r="C6" s="5" t="s">
        <v>8</v>
      </c>
      <c r="D6" s="5">
        <v>1761</v>
      </c>
      <c r="E6" s="12">
        <v>2.4</v>
      </c>
      <c r="F6" s="12">
        <v>4226.3999999999996</v>
      </c>
    </row>
    <row r="7" spans="1:6" x14ac:dyDescent="0.25">
      <c r="A7" s="5">
        <v>6</v>
      </c>
      <c r="B7" s="5" t="s">
        <v>11</v>
      </c>
      <c r="C7" s="5" t="s">
        <v>7</v>
      </c>
      <c r="D7" s="5">
        <v>6102</v>
      </c>
      <c r="E7" s="12">
        <v>2.6</v>
      </c>
      <c r="F7" s="12">
        <v>15865.2</v>
      </c>
    </row>
    <row r="8" spans="1:6" x14ac:dyDescent="0.25">
      <c r="A8" s="5">
        <v>7</v>
      </c>
      <c r="B8" s="5" t="s">
        <v>11</v>
      </c>
      <c r="C8" s="5" t="s">
        <v>9</v>
      </c>
      <c r="D8" s="5">
        <v>198</v>
      </c>
      <c r="E8" s="12">
        <v>79.900000000000006</v>
      </c>
      <c r="F8" s="12">
        <v>15820.2</v>
      </c>
    </row>
    <row r="9" spans="1:6" x14ac:dyDescent="0.25">
      <c r="A9" s="5">
        <v>8</v>
      </c>
      <c r="B9" s="5" t="s">
        <v>12</v>
      </c>
      <c r="C9" s="5" t="s">
        <v>10</v>
      </c>
      <c r="D9" s="5">
        <v>11</v>
      </c>
      <c r="E9" s="12">
        <v>9.5</v>
      </c>
      <c r="F9" s="12">
        <v>104.5</v>
      </c>
    </row>
    <row r="10" spans="1:6" x14ac:dyDescent="0.25">
      <c r="A10" s="5">
        <v>9</v>
      </c>
      <c r="B10" s="5" t="s">
        <v>12</v>
      </c>
      <c r="C10" s="5" t="s">
        <v>8</v>
      </c>
      <c r="D10" s="5">
        <v>8195</v>
      </c>
      <c r="E10" s="12">
        <v>2.4</v>
      </c>
      <c r="F10" s="12">
        <v>19668</v>
      </c>
    </row>
    <row r="11" spans="1:6" x14ac:dyDescent="0.25">
      <c r="A11" s="5">
        <v>10</v>
      </c>
      <c r="B11" s="5" t="s">
        <v>12</v>
      </c>
      <c r="C11" s="5" t="s">
        <v>7</v>
      </c>
      <c r="D11" s="5">
        <v>2129</v>
      </c>
      <c r="E11" s="12">
        <v>2.6</v>
      </c>
      <c r="F11" s="12">
        <v>5535.4</v>
      </c>
    </row>
    <row r="12" spans="1:6" x14ac:dyDescent="0.25">
      <c r="A12" s="5">
        <v>11</v>
      </c>
      <c r="B12" s="5" t="s">
        <v>12</v>
      </c>
      <c r="C12" s="5" t="s">
        <v>13</v>
      </c>
      <c r="D12" s="5">
        <v>4684</v>
      </c>
      <c r="E12" s="12">
        <v>6.2</v>
      </c>
      <c r="F12" s="12">
        <v>29040.799999999999</v>
      </c>
    </row>
    <row r="13" spans="1:6" x14ac:dyDescent="0.25">
      <c r="A13" s="5">
        <v>12</v>
      </c>
      <c r="B13" s="5" t="s">
        <v>12</v>
      </c>
      <c r="C13" s="5" t="s">
        <v>9</v>
      </c>
      <c r="D13" s="5">
        <v>36</v>
      </c>
      <c r="E13" s="12">
        <v>79.900000000000006</v>
      </c>
      <c r="F13" s="12">
        <v>2876.4</v>
      </c>
    </row>
    <row r="14" spans="1:6" x14ac:dyDescent="0.25">
      <c r="A14" s="5">
        <v>13</v>
      </c>
      <c r="B14" s="5" t="s">
        <v>14</v>
      </c>
      <c r="C14" s="5" t="s">
        <v>7</v>
      </c>
      <c r="D14" s="5">
        <v>9894</v>
      </c>
      <c r="E14" s="12">
        <v>2.6</v>
      </c>
      <c r="F14" s="12">
        <v>25724.400000000001</v>
      </c>
    </row>
    <row r="15" spans="1:6" x14ac:dyDescent="0.25">
      <c r="A15" s="5">
        <v>14</v>
      </c>
      <c r="B15" s="5" t="s">
        <v>15</v>
      </c>
      <c r="C15" s="5" t="s">
        <v>8</v>
      </c>
      <c r="D15" s="5">
        <v>2189</v>
      </c>
      <c r="E15" s="12">
        <v>2.4</v>
      </c>
      <c r="F15" s="12">
        <v>5253.6</v>
      </c>
    </row>
    <row r="16" spans="1:6" x14ac:dyDescent="0.25">
      <c r="A16" s="5">
        <v>15</v>
      </c>
      <c r="B16" s="5" t="s">
        <v>15</v>
      </c>
      <c r="C16" s="5" t="s">
        <v>13</v>
      </c>
      <c r="D16" s="5">
        <v>4734</v>
      </c>
      <c r="E16" s="12">
        <v>6.2</v>
      </c>
      <c r="F16" s="12">
        <v>29350.799999999999</v>
      </c>
    </row>
    <row r="17" spans="1:6" x14ac:dyDescent="0.25">
      <c r="A17" s="5">
        <v>16</v>
      </c>
      <c r="B17" s="5" t="s">
        <v>16</v>
      </c>
      <c r="C17" s="5" t="s">
        <v>7</v>
      </c>
      <c r="D17" s="5">
        <v>8568</v>
      </c>
      <c r="E17" s="12">
        <v>2.6</v>
      </c>
      <c r="F17" s="12">
        <v>22276.799999999999</v>
      </c>
    </row>
    <row r="18" spans="1:6" x14ac:dyDescent="0.25">
      <c r="A18" s="5">
        <v>17</v>
      </c>
      <c r="B18" s="5" t="s">
        <v>17</v>
      </c>
      <c r="C18" s="5" t="s">
        <v>7</v>
      </c>
      <c r="D18" s="5">
        <v>2023</v>
      </c>
      <c r="E18" s="12">
        <v>2.6</v>
      </c>
      <c r="F18" s="12">
        <v>5259.8</v>
      </c>
    </row>
    <row r="19" spans="1:6" x14ac:dyDescent="0.25">
      <c r="A19" s="5">
        <v>18</v>
      </c>
      <c r="B19" s="5" t="s">
        <v>18</v>
      </c>
      <c r="C19" s="5" t="s">
        <v>10</v>
      </c>
      <c r="D19" s="5">
        <v>1536</v>
      </c>
      <c r="E19" s="12">
        <v>9.5</v>
      </c>
      <c r="F19" s="12">
        <v>14592</v>
      </c>
    </row>
    <row r="20" spans="1:6" x14ac:dyDescent="0.25">
      <c r="A20" s="5">
        <v>19</v>
      </c>
      <c r="B20" s="5" t="s">
        <v>19</v>
      </c>
      <c r="C20" s="5" t="s">
        <v>7</v>
      </c>
      <c r="D20" s="5">
        <v>782</v>
      </c>
      <c r="E20" s="12">
        <v>2.6</v>
      </c>
      <c r="F20" s="12">
        <v>2033.2</v>
      </c>
    </row>
    <row r="21" spans="1:6" x14ac:dyDescent="0.25">
      <c r="A21" s="5">
        <v>20</v>
      </c>
      <c r="B21" s="5" t="s">
        <v>20</v>
      </c>
      <c r="C21" s="5" t="s">
        <v>7</v>
      </c>
      <c r="D21" s="5">
        <v>4203</v>
      </c>
      <c r="E21" s="12">
        <v>2.6</v>
      </c>
      <c r="F21" s="12">
        <v>10927.8</v>
      </c>
    </row>
    <row r="22" spans="1:6" x14ac:dyDescent="0.25">
      <c r="A22" s="5">
        <v>21</v>
      </c>
      <c r="B22" s="5" t="s">
        <v>20</v>
      </c>
      <c r="C22" s="5" t="s">
        <v>10</v>
      </c>
      <c r="D22" s="5">
        <v>1227</v>
      </c>
      <c r="E22" s="12">
        <v>9.5</v>
      </c>
      <c r="F22" s="12">
        <v>11656.5</v>
      </c>
    </row>
    <row r="23" spans="1:6" x14ac:dyDescent="0.25">
      <c r="A23" s="5">
        <v>22</v>
      </c>
      <c r="B23" s="5" t="s">
        <v>21</v>
      </c>
      <c r="C23" s="5" t="s">
        <v>7</v>
      </c>
      <c r="D23" s="5">
        <v>4115</v>
      </c>
      <c r="E23" s="12">
        <v>2.6</v>
      </c>
      <c r="F23" s="12">
        <v>10699</v>
      </c>
    </row>
    <row r="24" spans="1:6" x14ac:dyDescent="0.25">
      <c r="A24" s="5">
        <v>23</v>
      </c>
      <c r="B24" s="5" t="s">
        <v>21</v>
      </c>
      <c r="C24" s="5" t="s">
        <v>8</v>
      </c>
      <c r="D24" s="5">
        <v>4100</v>
      </c>
      <c r="E24" s="12">
        <v>2.4</v>
      </c>
      <c r="F24" s="12">
        <v>9840</v>
      </c>
    </row>
    <row r="25" spans="1:6" x14ac:dyDescent="0.25">
      <c r="A25" s="5">
        <v>24</v>
      </c>
      <c r="B25" s="5" t="s">
        <v>21</v>
      </c>
      <c r="C25" s="5" t="s">
        <v>13</v>
      </c>
      <c r="D25" s="5">
        <v>725</v>
      </c>
      <c r="E25" s="12">
        <v>6.2</v>
      </c>
      <c r="F25" s="12">
        <v>4495</v>
      </c>
    </row>
    <row r="26" spans="1:6" x14ac:dyDescent="0.25">
      <c r="A26" s="5">
        <v>25</v>
      </c>
      <c r="B26" s="5" t="s">
        <v>21</v>
      </c>
      <c r="C26" s="5" t="s">
        <v>10</v>
      </c>
      <c r="D26" s="5">
        <v>3058</v>
      </c>
      <c r="E26" s="12">
        <v>9.5</v>
      </c>
      <c r="F26" s="12">
        <v>29051</v>
      </c>
    </row>
    <row r="27" spans="1:6" x14ac:dyDescent="0.25">
      <c r="A27" s="5">
        <v>26</v>
      </c>
      <c r="B27" s="5" t="s">
        <v>22</v>
      </c>
      <c r="C27" s="5" t="s">
        <v>10</v>
      </c>
      <c r="D27" s="5">
        <v>3918</v>
      </c>
      <c r="E27" s="12">
        <v>9.5</v>
      </c>
      <c r="F27" s="12">
        <v>37221</v>
      </c>
    </row>
    <row r="28" spans="1:6" x14ac:dyDescent="0.25">
      <c r="A28" s="5">
        <v>27</v>
      </c>
      <c r="B28" s="5" t="s">
        <v>23</v>
      </c>
      <c r="C28" s="5" t="s">
        <v>9</v>
      </c>
      <c r="D28" s="5">
        <v>429</v>
      </c>
      <c r="E28" s="12">
        <v>79.900000000000006</v>
      </c>
      <c r="F28" s="12">
        <v>34277.1</v>
      </c>
    </row>
    <row r="29" spans="1:6" x14ac:dyDescent="0.25">
      <c r="A29" s="5">
        <v>28</v>
      </c>
      <c r="B29" s="5" t="s">
        <v>23</v>
      </c>
      <c r="C29" s="5" t="s">
        <v>7</v>
      </c>
      <c r="D29" s="5">
        <v>2905</v>
      </c>
      <c r="E29" s="12">
        <v>2.6</v>
      </c>
      <c r="F29" s="12">
        <v>7553</v>
      </c>
    </row>
    <row r="30" spans="1:6" x14ac:dyDescent="0.25">
      <c r="A30" s="5">
        <v>29</v>
      </c>
      <c r="B30" s="5" t="s">
        <v>23</v>
      </c>
      <c r="C30" s="5" t="s">
        <v>8</v>
      </c>
      <c r="D30" s="5">
        <v>6619</v>
      </c>
      <c r="E30" s="12">
        <v>2.4</v>
      </c>
      <c r="F30" s="12">
        <v>15885.6</v>
      </c>
    </row>
    <row r="31" spans="1:6" x14ac:dyDescent="0.25">
      <c r="A31" s="5">
        <v>30</v>
      </c>
      <c r="B31" s="5" t="s">
        <v>24</v>
      </c>
      <c r="C31" s="5" t="s">
        <v>10</v>
      </c>
      <c r="D31" s="5">
        <v>613</v>
      </c>
      <c r="E31" s="12">
        <v>9.5</v>
      </c>
      <c r="F31" s="12">
        <v>5823.5</v>
      </c>
    </row>
    <row r="32" spans="1:6" x14ac:dyDescent="0.25">
      <c r="A32" s="5">
        <v>31</v>
      </c>
      <c r="B32" s="5" t="s">
        <v>24</v>
      </c>
      <c r="C32" s="5" t="s">
        <v>7</v>
      </c>
      <c r="D32" s="5">
        <v>8697</v>
      </c>
      <c r="E32" s="12">
        <v>2.6</v>
      </c>
      <c r="F32" s="12">
        <v>22612.2</v>
      </c>
    </row>
    <row r="33" spans="1:6" x14ac:dyDescent="0.25">
      <c r="A33" s="5">
        <v>32</v>
      </c>
      <c r="B33" s="5" t="s">
        <v>25</v>
      </c>
      <c r="C33" s="5" t="s">
        <v>9</v>
      </c>
      <c r="D33" s="5">
        <v>173</v>
      </c>
      <c r="E33" s="12">
        <v>79.900000000000006</v>
      </c>
      <c r="F33" s="12">
        <v>13822.7</v>
      </c>
    </row>
    <row r="34" spans="1:6" x14ac:dyDescent="0.25">
      <c r="A34" s="5">
        <v>33</v>
      </c>
      <c r="B34" s="5" t="s">
        <v>25</v>
      </c>
      <c r="C34" s="5" t="s">
        <v>8</v>
      </c>
      <c r="D34" s="5">
        <v>339</v>
      </c>
      <c r="E34" s="12">
        <v>2.4</v>
      </c>
      <c r="F34" s="12">
        <v>813.6</v>
      </c>
    </row>
    <row r="35" spans="1:6" x14ac:dyDescent="0.25">
      <c r="A35" s="5">
        <v>34</v>
      </c>
      <c r="B35" s="5" t="s">
        <v>25</v>
      </c>
      <c r="C35" s="5" t="s">
        <v>13</v>
      </c>
      <c r="D35" s="5">
        <v>342</v>
      </c>
      <c r="E35" s="12">
        <v>6.2</v>
      </c>
      <c r="F35" s="12">
        <v>2120.4</v>
      </c>
    </row>
    <row r="36" spans="1:6" x14ac:dyDescent="0.25">
      <c r="A36" s="5">
        <v>35</v>
      </c>
      <c r="B36" s="5" t="s">
        <v>25</v>
      </c>
      <c r="C36" s="5" t="s">
        <v>10</v>
      </c>
      <c r="D36" s="5">
        <v>3000</v>
      </c>
      <c r="E36" s="12">
        <v>9.5</v>
      </c>
      <c r="F36" s="12">
        <v>28500</v>
      </c>
    </row>
    <row r="37" spans="1:6" x14ac:dyDescent="0.25">
      <c r="A37" s="5">
        <v>36</v>
      </c>
      <c r="B37" s="5" t="s">
        <v>26</v>
      </c>
      <c r="C37" s="5" t="s">
        <v>13</v>
      </c>
      <c r="D37" s="5">
        <v>4317</v>
      </c>
      <c r="E37" s="12">
        <v>6.2</v>
      </c>
      <c r="F37" s="12">
        <v>26765.4</v>
      </c>
    </row>
    <row r="38" spans="1:6" x14ac:dyDescent="0.25">
      <c r="A38" s="5">
        <v>37</v>
      </c>
      <c r="B38" s="5" t="s">
        <v>26</v>
      </c>
      <c r="C38" s="5" t="s">
        <v>8</v>
      </c>
      <c r="D38" s="5">
        <v>4001</v>
      </c>
      <c r="E38" s="12">
        <v>2.4</v>
      </c>
      <c r="F38" s="12">
        <v>9602.4</v>
      </c>
    </row>
    <row r="39" spans="1:6" x14ac:dyDescent="0.25">
      <c r="A39" s="5">
        <v>38</v>
      </c>
      <c r="B39" s="5" t="s">
        <v>26</v>
      </c>
      <c r="C39" s="5" t="s">
        <v>7</v>
      </c>
      <c r="D39" s="5">
        <v>6282</v>
      </c>
      <c r="E39" s="12">
        <v>2.6</v>
      </c>
      <c r="F39" s="12">
        <v>16333.2</v>
      </c>
    </row>
    <row r="40" spans="1:6" x14ac:dyDescent="0.25">
      <c r="A40" s="5">
        <v>39</v>
      </c>
      <c r="B40" s="5" t="s">
        <v>27</v>
      </c>
      <c r="C40" s="5" t="s">
        <v>9</v>
      </c>
      <c r="D40" s="5">
        <v>353</v>
      </c>
      <c r="E40" s="12">
        <v>79.900000000000006</v>
      </c>
      <c r="F40" s="12">
        <v>28204.7</v>
      </c>
    </row>
    <row r="41" spans="1:6" x14ac:dyDescent="0.25">
      <c r="A41" s="5">
        <v>40</v>
      </c>
      <c r="B41" s="5" t="s">
        <v>28</v>
      </c>
      <c r="C41" s="5" t="s">
        <v>9</v>
      </c>
      <c r="D41" s="5">
        <v>71</v>
      </c>
      <c r="E41" s="12">
        <v>79.900000000000006</v>
      </c>
      <c r="F41" s="12">
        <v>5672.9</v>
      </c>
    </row>
    <row r="42" spans="1:6" x14ac:dyDescent="0.25">
      <c r="A42" s="5">
        <v>41</v>
      </c>
      <c r="B42" s="5" t="s">
        <v>28</v>
      </c>
      <c r="C42" s="5" t="s">
        <v>10</v>
      </c>
      <c r="D42" s="5">
        <v>831</v>
      </c>
      <c r="E42" s="12">
        <v>9.5</v>
      </c>
      <c r="F42" s="12">
        <v>7894.5</v>
      </c>
    </row>
    <row r="43" spans="1:6" x14ac:dyDescent="0.25">
      <c r="A43" s="5">
        <v>42</v>
      </c>
      <c r="B43" s="5" t="s">
        <v>28</v>
      </c>
      <c r="C43" s="5" t="s">
        <v>13</v>
      </c>
      <c r="D43" s="5">
        <v>2219</v>
      </c>
      <c r="E43" s="12">
        <v>6.2</v>
      </c>
      <c r="F43" s="12">
        <v>13757.8</v>
      </c>
    </row>
    <row r="44" spans="1:6" x14ac:dyDescent="0.25">
      <c r="A44" s="5">
        <v>43</v>
      </c>
      <c r="B44" s="5" t="s">
        <v>28</v>
      </c>
      <c r="C44" s="5" t="s">
        <v>7</v>
      </c>
      <c r="D44" s="5">
        <v>1636</v>
      </c>
      <c r="E44" s="12">
        <v>2.6</v>
      </c>
      <c r="F44" s="12">
        <v>4253.6000000000004</v>
      </c>
    </row>
    <row r="45" spans="1:6" x14ac:dyDescent="0.25">
      <c r="A45" s="5">
        <v>44</v>
      </c>
      <c r="B45" s="5" t="s">
        <v>29</v>
      </c>
      <c r="C45" s="5" t="s">
        <v>13</v>
      </c>
      <c r="D45" s="5">
        <v>1259</v>
      </c>
      <c r="E45" s="12">
        <v>6.2</v>
      </c>
      <c r="F45" s="12">
        <v>7805.8</v>
      </c>
    </row>
    <row r="46" spans="1:6" x14ac:dyDescent="0.25">
      <c r="A46" s="5">
        <v>45</v>
      </c>
      <c r="B46" s="5" t="s">
        <v>30</v>
      </c>
      <c r="C46" s="5" t="s">
        <v>9</v>
      </c>
      <c r="D46" s="5">
        <v>524</v>
      </c>
      <c r="E46" s="12">
        <v>79.900000000000006</v>
      </c>
      <c r="F46" s="12">
        <v>41867.599999999999</v>
      </c>
    </row>
    <row r="47" spans="1:6" x14ac:dyDescent="0.25">
      <c r="A47" s="5">
        <v>46</v>
      </c>
      <c r="B47" s="5" t="s">
        <v>31</v>
      </c>
      <c r="C47" s="5" t="s">
        <v>13</v>
      </c>
      <c r="D47" s="5">
        <v>338</v>
      </c>
      <c r="E47" s="12">
        <v>6.2</v>
      </c>
      <c r="F47" s="12">
        <v>2095.6</v>
      </c>
    </row>
    <row r="48" spans="1:6" x14ac:dyDescent="0.25">
      <c r="A48" s="5">
        <v>47</v>
      </c>
      <c r="B48" s="5" t="s">
        <v>32</v>
      </c>
      <c r="C48" s="5" t="s">
        <v>7</v>
      </c>
      <c r="D48" s="5">
        <v>3457</v>
      </c>
      <c r="E48" s="12">
        <v>2.6</v>
      </c>
      <c r="F48" s="12">
        <v>8988.2000000000007</v>
      </c>
    </row>
    <row r="49" spans="1:6" x14ac:dyDescent="0.25">
      <c r="A49" s="5">
        <v>48</v>
      </c>
      <c r="B49" s="5" t="s">
        <v>32</v>
      </c>
      <c r="C49" s="5" t="s">
        <v>8</v>
      </c>
      <c r="D49" s="5">
        <v>2634</v>
      </c>
      <c r="E49" s="12">
        <v>2.4</v>
      </c>
      <c r="F49" s="12">
        <v>6321.6</v>
      </c>
    </row>
    <row r="50" spans="1:6" x14ac:dyDescent="0.25">
      <c r="A50" s="5">
        <v>49</v>
      </c>
      <c r="B50" s="5" t="s">
        <v>32</v>
      </c>
      <c r="C50" s="5" t="s">
        <v>9</v>
      </c>
      <c r="D50" s="5">
        <v>236</v>
      </c>
      <c r="E50" s="12">
        <v>79.900000000000006</v>
      </c>
      <c r="F50" s="12">
        <v>18856.400000000001</v>
      </c>
    </row>
    <row r="51" spans="1:6" x14ac:dyDescent="0.25">
      <c r="A51" s="5">
        <v>50</v>
      </c>
      <c r="B51" s="5" t="s">
        <v>32</v>
      </c>
      <c r="C51" s="5" t="s">
        <v>10</v>
      </c>
      <c r="D51" s="5">
        <v>526</v>
      </c>
      <c r="E51" s="12">
        <v>9.5</v>
      </c>
      <c r="F51" s="12">
        <v>4997</v>
      </c>
    </row>
    <row r="52" spans="1:6" x14ac:dyDescent="0.25">
      <c r="A52" s="5">
        <v>51</v>
      </c>
      <c r="B52" s="5" t="s">
        <v>33</v>
      </c>
      <c r="C52" s="5" t="s">
        <v>9</v>
      </c>
      <c r="D52" s="5">
        <v>147</v>
      </c>
      <c r="E52" s="12">
        <v>79.900000000000006</v>
      </c>
      <c r="F52" s="12">
        <v>11745.3</v>
      </c>
    </row>
    <row r="53" spans="1:6" x14ac:dyDescent="0.25">
      <c r="A53" s="5">
        <v>52</v>
      </c>
      <c r="B53" s="5" t="s">
        <v>34</v>
      </c>
      <c r="C53" s="5" t="s">
        <v>10</v>
      </c>
      <c r="D53" s="5">
        <v>1917</v>
      </c>
      <c r="E53" s="12">
        <v>9.5</v>
      </c>
      <c r="F53" s="12">
        <v>18211.5</v>
      </c>
    </row>
    <row r="54" spans="1:6" x14ac:dyDescent="0.25">
      <c r="A54" s="5">
        <v>53</v>
      </c>
      <c r="B54" s="5" t="s">
        <v>34</v>
      </c>
      <c r="C54" s="5" t="s">
        <v>13</v>
      </c>
      <c r="D54" s="5">
        <v>27</v>
      </c>
      <c r="E54" s="12">
        <v>6.2</v>
      </c>
      <c r="F54" s="12">
        <v>167.4</v>
      </c>
    </row>
    <row r="55" spans="1:6" x14ac:dyDescent="0.25">
      <c r="A55" s="5">
        <v>54</v>
      </c>
      <c r="B55" s="5" t="s">
        <v>34</v>
      </c>
      <c r="C55" s="5" t="s">
        <v>7</v>
      </c>
      <c r="D55" s="5">
        <v>9268</v>
      </c>
      <c r="E55" s="12">
        <v>2.6</v>
      </c>
      <c r="F55" s="12">
        <v>24096.799999999999</v>
      </c>
    </row>
    <row r="56" spans="1:6" x14ac:dyDescent="0.25">
      <c r="A56" s="5">
        <v>55</v>
      </c>
      <c r="B56" s="5" t="s">
        <v>34</v>
      </c>
      <c r="C56" s="5" t="s">
        <v>9</v>
      </c>
      <c r="D56" s="5">
        <v>19</v>
      </c>
      <c r="E56" s="12">
        <v>79.900000000000006</v>
      </c>
      <c r="F56" s="12">
        <v>1518.1</v>
      </c>
    </row>
    <row r="57" spans="1:6" x14ac:dyDescent="0.25">
      <c r="A57" s="5">
        <v>56</v>
      </c>
      <c r="B57" s="5" t="s">
        <v>35</v>
      </c>
      <c r="C57" s="5" t="s">
        <v>13</v>
      </c>
      <c r="D57" s="5">
        <v>4555</v>
      </c>
      <c r="E57" s="12">
        <v>6.2</v>
      </c>
      <c r="F57" s="12">
        <v>28241</v>
      </c>
    </row>
    <row r="58" spans="1:6" x14ac:dyDescent="0.25">
      <c r="A58" s="5">
        <v>57</v>
      </c>
      <c r="B58" s="5" t="s">
        <v>35</v>
      </c>
      <c r="C58" s="5" t="s">
        <v>8</v>
      </c>
      <c r="D58" s="5">
        <v>3106</v>
      </c>
      <c r="E58" s="12">
        <v>2.4</v>
      </c>
      <c r="F58" s="12">
        <v>7454.4</v>
      </c>
    </row>
    <row r="59" spans="1:6" x14ac:dyDescent="0.25">
      <c r="A59" s="5">
        <v>58</v>
      </c>
      <c r="B59" s="5" t="s">
        <v>36</v>
      </c>
      <c r="C59" s="5" t="s">
        <v>7</v>
      </c>
      <c r="D59" s="5">
        <v>8571</v>
      </c>
      <c r="E59" s="12">
        <v>2.6</v>
      </c>
      <c r="F59" s="12">
        <v>22284.6</v>
      </c>
    </row>
    <row r="60" spans="1:6" x14ac:dyDescent="0.25">
      <c r="A60" s="5">
        <v>59</v>
      </c>
      <c r="B60" s="5" t="s">
        <v>36</v>
      </c>
      <c r="C60" s="5" t="s">
        <v>13</v>
      </c>
      <c r="D60" s="5">
        <v>1435</v>
      </c>
      <c r="E60" s="12">
        <v>6.2</v>
      </c>
      <c r="F60" s="12">
        <v>8897</v>
      </c>
    </row>
    <row r="61" spans="1:6" x14ac:dyDescent="0.25">
      <c r="A61" s="5">
        <v>60</v>
      </c>
      <c r="B61" s="5" t="s">
        <v>36</v>
      </c>
      <c r="C61" s="5" t="s">
        <v>8</v>
      </c>
      <c r="D61" s="5">
        <v>5749</v>
      </c>
      <c r="E61" s="12">
        <v>2.4</v>
      </c>
      <c r="F61" s="12">
        <v>13797.6</v>
      </c>
    </row>
    <row r="62" spans="1:6" x14ac:dyDescent="0.25">
      <c r="A62" s="5">
        <v>61</v>
      </c>
      <c r="B62" s="5" t="s">
        <v>37</v>
      </c>
      <c r="C62" s="5" t="s">
        <v>8</v>
      </c>
      <c r="D62" s="5">
        <v>2452</v>
      </c>
      <c r="E62" s="12">
        <v>2.4</v>
      </c>
      <c r="F62" s="12">
        <v>5884.8</v>
      </c>
    </row>
    <row r="63" spans="1:6" x14ac:dyDescent="0.25">
      <c r="A63" s="5">
        <v>62</v>
      </c>
      <c r="B63" s="5" t="s">
        <v>37</v>
      </c>
      <c r="C63" s="5" t="s">
        <v>9</v>
      </c>
      <c r="D63" s="5">
        <v>317</v>
      </c>
      <c r="E63" s="12">
        <v>79.900000000000006</v>
      </c>
      <c r="F63" s="12">
        <v>25328.3</v>
      </c>
    </row>
    <row r="64" spans="1:6" x14ac:dyDescent="0.25">
      <c r="A64" s="5">
        <v>63</v>
      </c>
      <c r="B64" s="5" t="s">
        <v>38</v>
      </c>
      <c r="C64" s="5" t="s">
        <v>10</v>
      </c>
      <c r="D64" s="5">
        <v>1710</v>
      </c>
      <c r="E64" s="12">
        <v>9.5</v>
      </c>
      <c r="F64" s="12">
        <v>16245</v>
      </c>
    </row>
    <row r="65" spans="1:6" x14ac:dyDescent="0.25">
      <c r="A65" s="5">
        <v>64</v>
      </c>
      <c r="B65" s="5" t="s">
        <v>38</v>
      </c>
      <c r="C65" s="5" t="s">
        <v>13</v>
      </c>
      <c r="D65" s="5">
        <v>377</v>
      </c>
      <c r="E65" s="12">
        <v>6.2</v>
      </c>
      <c r="F65" s="12">
        <v>2337.4</v>
      </c>
    </row>
    <row r="66" spans="1:6" x14ac:dyDescent="0.25">
      <c r="A66" s="5">
        <v>65</v>
      </c>
      <c r="B66" s="5" t="s">
        <v>38</v>
      </c>
      <c r="C66" s="5" t="s">
        <v>9</v>
      </c>
      <c r="D66" s="5">
        <v>212</v>
      </c>
      <c r="E66" s="12">
        <v>79.900000000000006</v>
      </c>
      <c r="F66" s="12">
        <v>16938.8</v>
      </c>
    </row>
    <row r="67" spans="1:6" x14ac:dyDescent="0.25">
      <c r="A67" s="5">
        <v>66</v>
      </c>
      <c r="B67" s="5" t="s">
        <v>39</v>
      </c>
      <c r="C67" s="5" t="s">
        <v>9</v>
      </c>
      <c r="D67" s="5">
        <v>287</v>
      </c>
      <c r="E67" s="12">
        <v>79.900000000000006</v>
      </c>
      <c r="F67" s="12">
        <v>22931.3</v>
      </c>
    </row>
    <row r="68" spans="1:6" x14ac:dyDescent="0.25">
      <c r="A68" s="5">
        <v>67</v>
      </c>
      <c r="B68" s="5" t="s">
        <v>40</v>
      </c>
      <c r="C68" s="5" t="s">
        <v>9</v>
      </c>
      <c r="D68" s="5">
        <v>434</v>
      </c>
      <c r="E68" s="12">
        <v>79.900000000000006</v>
      </c>
      <c r="F68" s="12">
        <v>34676.6</v>
      </c>
    </row>
    <row r="69" spans="1:6" x14ac:dyDescent="0.25">
      <c r="A69" s="5">
        <v>68</v>
      </c>
      <c r="B69" s="5" t="s">
        <v>40</v>
      </c>
      <c r="C69" s="5" t="s">
        <v>13</v>
      </c>
      <c r="D69" s="5">
        <v>3187</v>
      </c>
      <c r="E69" s="12">
        <v>6.2</v>
      </c>
      <c r="F69" s="12">
        <v>19759.400000000001</v>
      </c>
    </row>
    <row r="70" spans="1:6" x14ac:dyDescent="0.25">
      <c r="A70" s="5">
        <v>69</v>
      </c>
      <c r="B70" s="5" t="s">
        <v>41</v>
      </c>
      <c r="C70" s="5" t="s">
        <v>9</v>
      </c>
      <c r="D70" s="5">
        <v>405</v>
      </c>
      <c r="E70" s="12">
        <v>79.900000000000006</v>
      </c>
      <c r="F70" s="12">
        <v>32359.5</v>
      </c>
    </row>
    <row r="71" spans="1:6" x14ac:dyDescent="0.25">
      <c r="A71" s="5">
        <v>70</v>
      </c>
      <c r="B71" s="5" t="s">
        <v>41</v>
      </c>
      <c r="C71" s="5" t="s">
        <v>7</v>
      </c>
      <c r="D71" s="5">
        <v>2034</v>
      </c>
      <c r="E71" s="12">
        <v>2.6</v>
      </c>
      <c r="F71" s="12">
        <v>5288.4</v>
      </c>
    </row>
    <row r="72" spans="1:6" x14ac:dyDescent="0.25">
      <c r="A72" s="5">
        <v>71</v>
      </c>
      <c r="B72" s="5" t="s">
        <v>41</v>
      </c>
      <c r="C72" s="5" t="s">
        <v>13</v>
      </c>
      <c r="D72" s="5">
        <v>367</v>
      </c>
      <c r="E72" s="12">
        <v>6.2</v>
      </c>
      <c r="F72" s="12">
        <v>2275.4</v>
      </c>
    </row>
    <row r="73" spans="1:6" x14ac:dyDescent="0.25">
      <c r="A73" s="5">
        <v>72</v>
      </c>
      <c r="B73" s="5" t="s">
        <v>41</v>
      </c>
      <c r="C73" s="5" t="s">
        <v>8</v>
      </c>
      <c r="D73" s="5">
        <v>1540</v>
      </c>
      <c r="E73" s="12">
        <v>2.4</v>
      </c>
      <c r="F73" s="12">
        <v>3696</v>
      </c>
    </row>
    <row r="74" spans="1:6" x14ac:dyDescent="0.25">
      <c r="A74" s="5">
        <v>73</v>
      </c>
      <c r="B74" s="5" t="s">
        <v>41</v>
      </c>
      <c r="C74" s="5" t="s">
        <v>10</v>
      </c>
      <c r="D74" s="5">
        <v>1147</v>
      </c>
      <c r="E74" s="12">
        <v>9.5</v>
      </c>
      <c r="F74" s="12">
        <v>10896.5</v>
      </c>
    </row>
    <row r="75" spans="1:6" x14ac:dyDescent="0.25">
      <c r="A75" s="5">
        <v>74</v>
      </c>
      <c r="B75" s="5" t="s">
        <v>42</v>
      </c>
      <c r="C75" s="5" t="s">
        <v>13</v>
      </c>
      <c r="D75" s="5">
        <v>1081</v>
      </c>
      <c r="E75" s="12">
        <v>6.2</v>
      </c>
      <c r="F75" s="12">
        <v>6702.2</v>
      </c>
    </row>
    <row r="76" spans="1:6" x14ac:dyDescent="0.25">
      <c r="A76" s="5">
        <v>75</v>
      </c>
      <c r="B76" s="5" t="s">
        <v>42</v>
      </c>
      <c r="C76" s="5" t="s">
        <v>9</v>
      </c>
      <c r="D76" s="5">
        <v>348</v>
      </c>
      <c r="E76" s="12">
        <v>79.900000000000006</v>
      </c>
      <c r="F76" s="12">
        <v>27805.200000000001</v>
      </c>
    </row>
    <row r="77" spans="1:6" x14ac:dyDescent="0.25">
      <c r="A77" s="5">
        <v>76</v>
      </c>
      <c r="B77" s="5" t="s">
        <v>42</v>
      </c>
      <c r="C77" s="5" t="s">
        <v>7</v>
      </c>
      <c r="D77" s="5">
        <v>2426</v>
      </c>
      <c r="E77" s="12">
        <v>2.6</v>
      </c>
      <c r="F77" s="12">
        <v>6307.6</v>
      </c>
    </row>
    <row r="78" spans="1:6" x14ac:dyDescent="0.25">
      <c r="A78" s="5">
        <v>77</v>
      </c>
      <c r="B78" s="5" t="s">
        <v>43</v>
      </c>
      <c r="C78" s="5" t="s">
        <v>13</v>
      </c>
      <c r="D78" s="5">
        <v>4281</v>
      </c>
      <c r="E78" s="12">
        <v>6.2</v>
      </c>
      <c r="F78" s="12">
        <v>26542.2</v>
      </c>
    </row>
    <row r="79" spans="1:6" x14ac:dyDescent="0.25">
      <c r="A79" s="5">
        <v>78</v>
      </c>
      <c r="B79" s="5" t="s">
        <v>44</v>
      </c>
      <c r="C79" s="5" t="s">
        <v>13</v>
      </c>
      <c r="D79" s="5">
        <v>4106</v>
      </c>
      <c r="E79" s="12">
        <v>6.2</v>
      </c>
      <c r="F79" s="12">
        <v>25457.200000000001</v>
      </c>
    </row>
    <row r="80" spans="1:6" x14ac:dyDescent="0.25">
      <c r="A80" s="5">
        <v>79</v>
      </c>
      <c r="B80" s="5" t="s">
        <v>45</v>
      </c>
      <c r="C80" s="5" t="s">
        <v>7</v>
      </c>
      <c r="D80" s="5">
        <v>9694</v>
      </c>
      <c r="E80" s="12">
        <v>2.6</v>
      </c>
      <c r="F80" s="12">
        <v>25204.400000000001</v>
      </c>
    </row>
    <row r="81" spans="1:6" x14ac:dyDescent="0.25">
      <c r="A81" s="5">
        <v>80</v>
      </c>
      <c r="B81" s="5" t="s">
        <v>46</v>
      </c>
      <c r="C81" s="5" t="s">
        <v>9</v>
      </c>
      <c r="D81" s="5">
        <v>569</v>
      </c>
      <c r="E81" s="12">
        <v>79.900000000000006</v>
      </c>
      <c r="F81" s="12">
        <v>45463.1</v>
      </c>
    </row>
    <row r="82" spans="1:6" x14ac:dyDescent="0.25">
      <c r="A82" s="5">
        <v>81</v>
      </c>
      <c r="B82" s="5" t="s">
        <v>47</v>
      </c>
      <c r="C82" s="5" t="s">
        <v>9</v>
      </c>
      <c r="D82" s="5">
        <v>429</v>
      </c>
      <c r="E82" s="12">
        <v>79.900000000000006</v>
      </c>
      <c r="F82" s="12">
        <v>34277.1</v>
      </c>
    </row>
    <row r="83" spans="1:6" x14ac:dyDescent="0.25">
      <c r="A83" s="5">
        <v>82</v>
      </c>
      <c r="B83" s="5" t="s">
        <v>47</v>
      </c>
      <c r="C83" s="5" t="s">
        <v>7</v>
      </c>
      <c r="D83" s="5">
        <v>1440</v>
      </c>
      <c r="E83" s="12">
        <v>2.6</v>
      </c>
      <c r="F83" s="12">
        <v>3744</v>
      </c>
    </row>
    <row r="84" spans="1:6" x14ac:dyDescent="0.25">
      <c r="A84" s="5">
        <v>83</v>
      </c>
      <c r="B84" s="5" t="s">
        <v>47</v>
      </c>
      <c r="C84" s="5" t="s">
        <v>8</v>
      </c>
      <c r="D84" s="5">
        <v>2183</v>
      </c>
      <c r="E84" s="12">
        <v>2.4</v>
      </c>
      <c r="F84" s="12">
        <v>5239.2</v>
      </c>
    </row>
    <row r="85" spans="1:6" x14ac:dyDescent="0.25">
      <c r="A85" s="5">
        <v>84</v>
      </c>
      <c r="B85" s="5" t="s">
        <v>48</v>
      </c>
      <c r="C85" s="5" t="s">
        <v>7</v>
      </c>
      <c r="D85" s="5">
        <v>9979</v>
      </c>
      <c r="E85" s="12">
        <v>2.6</v>
      </c>
      <c r="F85" s="12">
        <v>25945.4</v>
      </c>
    </row>
    <row r="86" spans="1:6" x14ac:dyDescent="0.25">
      <c r="A86" s="5">
        <v>85</v>
      </c>
      <c r="B86" s="5" t="s">
        <v>49</v>
      </c>
      <c r="C86" s="5" t="s">
        <v>10</v>
      </c>
      <c r="D86" s="5">
        <v>3540</v>
      </c>
      <c r="E86" s="12">
        <v>9.5</v>
      </c>
      <c r="F86" s="12">
        <v>33630</v>
      </c>
    </row>
    <row r="87" spans="1:6" x14ac:dyDescent="0.25">
      <c r="A87" s="5">
        <v>86</v>
      </c>
      <c r="B87" s="5" t="s">
        <v>50</v>
      </c>
      <c r="C87" s="5" t="s">
        <v>8</v>
      </c>
      <c r="D87" s="5">
        <v>1573</v>
      </c>
      <c r="E87" s="12">
        <v>2.4</v>
      </c>
      <c r="F87" s="12">
        <v>3775.2</v>
      </c>
    </row>
    <row r="88" spans="1:6" x14ac:dyDescent="0.25">
      <c r="A88" s="5">
        <v>87</v>
      </c>
      <c r="B88" s="5" t="s">
        <v>51</v>
      </c>
      <c r="C88" s="5" t="s">
        <v>10</v>
      </c>
      <c r="D88" s="5">
        <v>411</v>
      </c>
      <c r="E88" s="12">
        <v>9.5</v>
      </c>
      <c r="F88" s="12">
        <v>3904.5</v>
      </c>
    </row>
    <row r="89" spans="1:6" x14ac:dyDescent="0.25">
      <c r="A89" s="5">
        <v>88</v>
      </c>
      <c r="B89" s="5" t="s">
        <v>52</v>
      </c>
      <c r="C89" s="5" t="s">
        <v>7</v>
      </c>
      <c r="D89" s="5">
        <v>1268</v>
      </c>
      <c r="E89" s="12">
        <v>2.6</v>
      </c>
      <c r="F89" s="12">
        <v>3296.8</v>
      </c>
    </row>
    <row r="90" spans="1:6" x14ac:dyDescent="0.25">
      <c r="A90" s="5">
        <v>89</v>
      </c>
      <c r="B90" s="5" t="s">
        <v>52</v>
      </c>
      <c r="C90" s="5" t="s">
        <v>13</v>
      </c>
      <c r="D90" s="5">
        <v>5772</v>
      </c>
      <c r="E90" s="12">
        <v>6.2</v>
      </c>
      <c r="F90" s="12">
        <v>35786.400000000001</v>
      </c>
    </row>
    <row r="91" spans="1:6" x14ac:dyDescent="0.25">
      <c r="A91" s="5">
        <v>90</v>
      </c>
      <c r="B91" s="5" t="s">
        <v>53</v>
      </c>
      <c r="C91" s="5" t="s">
        <v>10</v>
      </c>
      <c r="D91" s="5">
        <v>1877</v>
      </c>
      <c r="E91" s="12">
        <v>9.5</v>
      </c>
      <c r="F91" s="12">
        <v>17831.5</v>
      </c>
    </row>
    <row r="92" spans="1:6" x14ac:dyDescent="0.25">
      <c r="A92" s="5">
        <v>91</v>
      </c>
      <c r="B92" s="5" t="s">
        <v>54</v>
      </c>
      <c r="C92" s="5" t="s">
        <v>9</v>
      </c>
      <c r="D92" s="5">
        <v>21</v>
      </c>
      <c r="E92" s="12">
        <v>79.900000000000006</v>
      </c>
      <c r="F92" s="12">
        <v>1677.9</v>
      </c>
    </row>
    <row r="93" spans="1:6" x14ac:dyDescent="0.25">
      <c r="A93" s="5">
        <v>92</v>
      </c>
      <c r="B93" s="5" t="s">
        <v>55</v>
      </c>
      <c r="C93" s="5" t="s">
        <v>9</v>
      </c>
      <c r="D93" s="5">
        <v>91</v>
      </c>
      <c r="E93" s="12">
        <v>79.900000000000006</v>
      </c>
      <c r="F93" s="12">
        <v>7270.9</v>
      </c>
    </row>
    <row r="94" spans="1:6" x14ac:dyDescent="0.25">
      <c r="A94" s="5">
        <v>93</v>
      </c>
      <c r="B94" s="5" t="s">
        <v>55</v>
      </c>
      <c r="C94" s="5" t="s">
        <v>10</v>
      </c>
      <c r="D94" s="5">
        <v>1922</v>
      </c>
      <c r="E94" s="12">
        <v>9.5</v>
      </c>
      <c r="F94" s="12">
        <v>18259</v>
      </c>
    </row>
    <row r="95" spans="1:6" x14ac:dyDescent="0.25">
      <c r="A95" s="5">
        <v>94</v>
      </c>
      <c r="B95" s="5" t="s">
        <v>56</v>
      </c>
      <c r="C95" s="5" t="s">
        <v>10</v>
      </c>
      <c r="D95" s="5">
        <v>214</v>
      </c>
      <c r="E95" s="12">
        <v>9.5</v>
      </c>
      <c r="F95" s="12">
        <v>2033</v>
      </c>
    </row>
    <row r="96" spans="1:6" x14ac:dyDescent="0.25">
      <c r="A96" s="5">
        <v>95</v>
      </c>
      <c r="B96" s="5" t="s">
        <v>56</v>
      </c>
      <c r="C96" s="5" t="s">
        <v>13</v>
      </c>
      <c r="D96" s="5">
        <v>248</v>
      </c>
      <c r="E96" s="12">
        <v>6.2</v>
      </c>
      <c r="F96" s="12">
        <v>1537.6</v>
      </c>
    </row>
    <row r="97" spans="1:6" x14ac:dyDescent="0.25">
      <c r="A97" s="5">
        <v>96</v>
      </c>
      <c r="B97" s="5" t="s">
        <v>57</v>
      </c>
      <c r="C97" s="5" t="s">
        <v>7</v>
      </c>
      <c r="D97" s="5">
        <v>5530</v>
      </c>
      <c r="E97" s="12">
        <v>2.6</v>
      </c>
      <c r="F97" s="12">
        <v>14378</v>
      </c>
    </row>
    <row r="98" spans="1:6" x14ac:dyDescent="0.25">
      <c r="A98" s="5">
        <v>97</v>
      </c>
      <c r="B98" s="5" t="s">
        <v>57</v>
      </c>
      <c r="C98" s="5" t="s">
        <v>9</v>
      </c>
      <c r="D98" s="5">
        <v>218</v>
      </c>
      <c r="E98" s="12">
        <v>79.900000000000006</v>
      </c>
      <c r="F98" s="12">
        <v>17418.2</v>
      </c>
    </row>
    <row r="99" spans="1:6" x14ac:dyDescent="0.25">
      <c r="A99" s="5">
        <v>98</v>
      </c>
      <c r="B99" s="5" t="s">
        <v>58</v>
      </c>
      <c r="C99" s="5" t="s">
        <v>10</v>
      </c>
      <c r="D99" s="5">
        <v>1263</v>
      </c>
      <c r="E99" s="12">
        <v>9.5</v>
      </c>
      <c r="F99" s="12">
        <v>11998.5</v>
      </c>
    </row>
    <row r="100" spans="1:6" x14ac:dyDescent="0.25">
      <c r="A100" s="5">
        <v>99</v>
      </c>
      <c r="B100" s="5" t="s">
        <v>58</v>
      </c>
      <c r="C100" s="5" t="s">
        <v>8</v>
      </c>
      <c r="D100" s="5">
        <v>3125</v>
      </c>
      <c r="E100" s="12">
        <v>2.4</v>
      </c>
      <c r="F100" s="12">
        <v>7500</v>
      </c>
    </row>
    <row r="101" spans="1:6" x14ac:dyDescent="0.25">
      <c r="A101" s="5">
        <v>100</v>
      </c>
      <c r="B101" s="5" t="s">
        <v>58</v>
      </c>
      <c r="C101" s="5" t="s">
        <v>13</v>
      </c>
      <c r="D101" s="5">
        <v>635</v>
      </c>
      <c r="E101" s="12">
        <v>6.2</v>
      </c>
      <c r="F101" s="12">
        <v>3937</v>
      </c>
    </row>
    <row r="102" spans="1:6" x14ac:dyDescent="0.25">
      <c r="A102" s="5">
        <v>101</v>
      </c>
      <c r="B102" s="5" t="s">
        <v>59</v>
      </c>
      <c r="C102" s="5" t="s">
        <v>7</v>
      </c>
      <c r="D102" s="5">
        <v>322</v>
      </c>
      <c r="E102" s="12">
        <v>2.6</v>
      </c>
      <c r="F102" s="12">
        <v>837.2</v>
      </c>
    </row>
    <row r="103" spans="1:6" x14ac:dyDescent="0.25">
      <c r="A103" s="5">
        <v>102</v>
      </c>
      <c r="B103" s="5" t="s">
        <v>59</v>
      </c>
      <c r="C103" s="5" t="s">
        <v>10</v>
      </c>
      <c r="D103" s="5">
        <v>943</v>
      </c>
      <c r="E103" s="12">
        <v>9.5</v>
      </c>
      <c r="F103" s="12">
        <v>8958.5</v>
      </c>
    </row>
    <row r="104" spans="1:6" x14ac:dyDescent="0.25">
      <c r="A104" s="5">
        <v>103</v>
      </c>
      <c r="B104" s="5" t="s">
        <v>60</v>
      </c>
      <c r="C104" s="5" t="s">
        <v>8</v>
      </c>
      <c r="D104" s="5">
        <v>6460</v>
      </c>
      <c r="E104" s="12">
        <v>2.4</v>
      </c>
      <c r="F104" s="12">
        <v>15504</v>
      </c>
    </row>
    <row r="105" spans="1:6" x14ac:dyDescent="0.25">
      <c r="A105" s="5">
        <v>104</v>
      </c>
      <c r="B105" s="5" t="s">
        <v>60</v>
      </c>
      <c r="C105" s="5" t="s">
        <v>7</v>
      </c>
      <c r="D105" s="5">
        <v>1107</v>
      </c>
      <c r="E105" s="12">
        <v>2.6</v>
      </c>
      <c r="F105" s="12">
        <v>2878.2</v>
      </c>
    </row>
    <row r="106" spans="1:6" x14ac:dyDescent="0.25">
      <c r="A106" s="5">
        <v>105</v>
      </c>
      <c r="B106" s="5" t="s">
        <v>61</v>
      </c>
      <c r="C106" s="5" t="s">
        <v>9</v>
      </c>
      <c r="D106" s="5">
        <v>359</v>
      </c>
      <c r="E106" s="12">
        <v>79.900000000000006</v>
      </c>
      <c r="F106" s="12">
        <v>28684.1</v>
      </c>
    </row>
    <row r="107" spans="1:6" x14ac:dyDescent="0.25">
      <c r="A107" s="5">
        <v>106</v>
      </c>
      <c r="B107" s="5" t="s">
        <v>61</v>
      </c>
      <c r="C107" s="5" t="s">
        <v>8</v>
      </c>
      <c r="D107" s="5">
        <v>4906</v>
      </c>
      <c r="E107" s="12">
        <v>2.4</v>
      </c>
      <c r="F107" s="12">
        <v>11774.4</v>
      </c>
    </row>
    <row r="108" spans="1:6" x14ac:dyDescent="0.25">
      <c r="A108" s="5">
        <v>107</v>
      </c>
      <c r="B108" s="5" t="s">
        <v>62</v>
      </c>
      <c r="C108" s="5" t="s">
        <v>13</v>
      </c>
      <c r="D108" s="5">
        <v>4675</v>
      </c>
      <c r="E108" s="12">
        <v>6.2</v>
      </c>
      <c r="F108" s="12">
        <v>28985</v>
      </c>
    </row>
    <row r="109" spans="1:6" x14ac:dyDescent="0.25">
      <c r="A109" s="5">
        <v>108</v>
      </c>
      <c r="B109" s="5" t="s">
        <v>62</v>
      </c>
      <c r="C109" s="5" t="s">
        <v>9</v>
      </c>
      <c r="D109" s="5">
        <v>115</v>
      </c>
      <c r="E109" s="12">
        <v>79.900000000000006</v>
      </c>
      <c r="F109" s="12">
        <v>9188.5</v>
      </c>
    </row>
    <row r="110" spans="1:6" x14ac:dyDescent="0.25">
      <c r="A110" s="5">
        <v>109</v>
      </c>
      <c r="B110" s="5" t="s">
        <v>62</v>
      </c>
      <c r="C110" s="5" t="s">
        <v>8</v>
      </c>
      <c r="D110" s="5">
        <v>5434</v>
      </c>
      <c r="E110" s="12">
        <v>2.4</v>
      </c>
      <c r="F110" s="12">
        <v>13041.6</v>
      </c>
    </row>
    <row r="111" spans="1:6" x14ac:dyDescent="0.25">
      <c r="A111" s="5">
        <v>110</v>
      </c>
      <c r="B111" s="5" t="s">
        <v>63</v>
      </c>
      <c r="C111" s="5" t="s">
        <v>9</v>
      </c>
      <c r="D111" s="5">
        <v>463</v>
      </c>
      <c r="E111" s="12">
        <v>79.900000000000006</v>
      </c>
      <c r="F111" s="12">
        <v>36993.699999999997</v>
      </c>
    </row>
    <row r="112" spans="1:6" x14ac:dyDescent="0.25">
      <c r="A112" s="5">
        <v>111</v>
      </c>
      <c r="B112" s="5" t="s">
        <v>64</v>
      </c>
      <c r="C112" s="5" t="s">
        <v>7</v>
      </c>
      <c r="D112" s="5">
        <v>790</v>
      </c>
      <c r="E112" s="12">
        <v>2.6</v>
      </c>
      <c r="F112" s="12">
        <v>2054</v>
      </c>
    </row>
    <row r="113" spans="1:6" x14ac:dyDescent="0.25">
      <c r="A113" s="5">
        <v>112</v>
      </c>
      <c r="B113" s="5" t="s">
        <v>64</v>
      </c>
      <c r="C113" s="5" t="s">
        <v>8</v>
      </c>
      <c r="D113" s="5">
        <v>5081</v>
      </c>
      <c r="E113" s="12">
        <v>2.4</v>
      </c>
      <c r="F113" s="12">
        <v>12194.4</v>
      </c>
    </row>
    <row r="114" spans="1:6" x14ac:dyDescent="0.25">
      <c r="A114" s="5">
        <v>113</v>
      </c>
      <c r="B114" s="5" t="s">
        <v>64</v>
      </c>
      <c r="C114" s="5" t="s">
        <v>10</v>
      </c>
      <c r="D114" s="5">
        <v>3248</v>
      </c>
      <c r="E114" s="12">
        <v>9.5</v>
      </c>
      <c r="F114" s="12">
        <v>30856</v>
      </c>
    </row>
    <row r="115" spans="1:6" x14ac:dyDescent="0.25">
      <c r="A115" s="5">
        <v>114</v>
      </c>
      <c r="B115" s="5" t="s">
        <v>64</v>
      </c>
      <c r="C115" s="5" t="s">
        <v>13</v>
      </c>
      <c r="D115" s="5">
        <v>1124</v>
      </c>
      <c r="E115" s="12">
        <v>6.2</v>
      </c>
      <c r="F115" s="12">
        <v>6968.8</v>
      </c>
    </row>
    <row r="116" spans="1:6" x14ac:dyDescent="0.25">
      <c r="A116" s="5">
        <v>115</v>
      </c>
      <c r="B116" s="5" t="s">
        <v>65</v>
      </c>
      <c r="C116" s="5" t="s">
        <v>10</v>
      </c>
      <c r="D116" s="5">
        <v>956</v>
      </c>
      <c r="E116" s="12">
        <v>9.5</v>
      </c>
      <c r="F116" s="12">
        <v>9082</v>
      </c>
    </row>
    <row r="117" spans="1:6" x14ac:dyDescent="0.25">
      <c r="A117" s="5">
        <v>116</v>
      </c>
      <c r="B117" s="5" t="s">
        <v>65</v>
      </c>
      <c r="C117" s="5" t="s">
        <v>8</v>
      </c>
      <c r="D117" s="5">
        <v>5074</v>
      </c>
      <c r="E117" s="12">
        <v>2.4</v>
      </c>
      <c r="F117" s="12">
        <v>12177.6</v>
      </c>
    </row>
    <row r="118" spans="1:6" x14ac:dyDescent="0.25">
      <c r="A118" s="5">
        <v>117</v>
      </c>
      <c r="B118" s="5" t="s">
        <v>66</v>
      </c>
      <c r="C118" s="5" t="s">
        <v>8</v>
      </c>
      <c r="D118" s="5">
        <v>863</v>
      </c>
      <c r="E118" s="12">
        <v>2.4</v>
      </c>
      <c r="F118" s="12">
        <v>2071.1999999999998</v>
      </c>
    </row>
    <row r="119" spans="1:6" x14ac:dyDescent="0.25">
      <c r="A119" s="5">
        <v>118</v>
      </c>
      <c r="B119" s="5" t="s">
        <v>66</v>
      </c>
      <c r="C119" s="5" t="s">
        <v>13</v>
      </c>
      <c r="D119" s="5">
        <v>3762</v>
      </c>
      <c r="E119" s="12">
        <v>6.2</v>
      </c>
      <c r="F119" s="12">
        <v>23324.400000000001</v>
      </c>
    </row>
    <row r="120" spans="1:6" x14ac:dyDescent="0.25">
      <c r="A120" s="5">
        <v>119</v>
      </c>
      <c r="B120" s="5" t="s">
        <v>66</v>
      </c>
      <c r="C120" s="5" t="s">
        <v>9</v>
      </c>
      <c r="D120" s="5">
        <v>3</v>
      </c>
      <c r="E120" s="12">
        <v>79.900000000000006</v>
      </c>
      <c r="F120" s="12">
        <v>239.7</v>
      </c>
    </row>
    <row r="121" spans="1:6" x14ac:dyDescent="0.25">
      <c r="A121" s="5">
        <v>120</v>
      </c>
      <c r="B121" s="5" t="s">
        <v>67</v>
      </c>
      <c r="C121" s="5" t="s">
        <v>8</v>
      </c>
      <c r="D121" s="5">
        <v>7022</v>
      </c>
      <c r="E121" s="12">
        <v>2.4</v>
      </c>
      <c r="F121" s="12">
        <v>16852.8</v>
      </c>
    </row>
    <row r="122" spans="1:6" x14ac:dyDescent="0.25">
      <c r="A122" s="5">
        <v>121</v>
      </c>
      <c r="B122" s="5" t="s">
        <v>67</v>
      </c>
      <c r="C122" s="5" t="s">
        <v>10</v>
      </c>
      <c r="D122" s="5">
        <v>858</v>
      </c>
      <c r="E122" s="12">
        <v>9.5</v>
      </c>
      <c r="F122" s="12">
        <v>8151</v>
      </c>
    </row>
    <row r="123" spans="1:6" x14ac:dyDescent="0.25">
      <c r="A123" s="5">
        <v>122</v>
      </c>
      <c r="B123" s="5" t="s">
        <v>67</v>
      </c>
      <c r="C123" s="5" t="s">
        <v>9</v>
      </c>
      <c r="D123" s="5">
        <v>210</v>
      </c>
      <c r="E123" s="12">
        <v>79.900000000000006</v>
      </c>
      <c r="F123" s="12">
        <v>16779</v>
      </c>
    </row>
    <row r="124" spans="1:6" x14ac:dyDescent="0.25">
      <c r="A124" s="5">
        <v>123</v>
      </c>
      <c r="B124" s="5" t="s">
        <v>68</v>
      </c>
      <c r="C124" s="5" t="s">
        <v>7</v>
      </c>
      <c r="D124" s="5">
        <v>8555</v>
      </c>
      <c r="E124" s="12">
        <v>2.6</v>
      </c>
      <c r="F124" s="12">
        <v>22243</v>
      </c>
    </row>
    <row r="125" spans="1:6" x14ac:dyDescent="0.25">
      <c r="A125" s="5">
        <v>124</v>
      </c>
      <c r="B125" s="5" t="s">
        <v>68</v>
      </c>
      <c r="C125" s="5" t="s">
        <v>8</v>
      </c>
      <c r="D125" s="5">
        <v>5712</v>
      </c>
      <c r="E125" s="12">
        <v>2.4</v>
      </c>
      <c r="F125" s="12">
        <v>13708.8</v>
      </c>
    </row>
    <row r="126" spans="1:6" x14ac:dyDescent="0.25">
      <c r="A126" s="5">
        <v>125</v>
      </c>
      <c r="B126" s="5" t="s">
        <v>68</v>
      </c>
      <c r="C126" s="5" t="s">
        <v>13</v>
      </c>
      <c r="D126" s="5">
        <v>2724</v>
      </c>
      <c r="E126" s="12">
        <v>6.2</v>
      </c>
      <c r="F126" s="12">
        <v>16888.8</v>
      </c>
    </row>
    <row r="127" spans="1:6" x14ac:dyDescent="0.25">
      <c r="A127" s="5">
        <v>126</v>
      </c>
      <c r="B127" s="5" t="s">
        <v>69</v>
      </c>
      <c r="C127" s="5" t="s">
        <v>13</v>
      </c>
      <c r="D127" s="5">
        <v>5837</v>
      </c>
      <c r="E127" s="12">
        <v>6.2</v>
      </c>
      <c r="F127" s="12">
        <v>36189.4</v>
      </c>
    </row>
    <row r="128" spans="1:6" x14ac:dyDescent="0.25">
      <c r="A128" s="5">
        <v>127</v>
      </c>
      <c r="B128" s="5" t="s">
        <v>70</v>
      </c>
      <c r="C128" s="5" t="s">
        <v>9</v>
      </c>
      <c r="D128" s="5">
        <v>47</v>
      </c>
      <c r="E128" s="12">
        <v>79.900000000000006</v>
      </c>
      <c r="F128" s="12">
        <v>3755.3</v>
      </c>
    </row>
    <row r="129" spans="1:6" x14ac:dyDescent="0.25">
      <c r="A129" s="5">
        <v>128</v>
      </c>
      <c r="B129" s="5" t="s">
        <v>70</v>
      </c>
      <c r="C129" s="5" t="s">
        <v>7</v>
      </c>
      <c r="D129" s="5">
        <v>9065</v>
      </c>
      <c r="E129" s="12">
        <v>2.6</v>
      </c>
      <c r="F129" s="12">
        <v>23569</v>
      </c>
    </row>
    <row r="130" spans="1:6" x14ac:dyDescent="0.25">
      <c r="A130" s="5">
        <v>129</v>
      </c>
      <c r="B130" s="5" t="s">
        <v>71</v>
      </c>
      <c r="C130" s="5" t="s">
        <v>8</v>
      </c>
      <c r="D130" s="5">
        <v>3015</v>
      </c>
      <c r="E130" s="12">
        <v>2.4</v>
      </c>
      <c r="F130" s="12">
        <v>7236</v>
      </c>
    </row>
    <row r="131" spans="1:6" x14ac:dyDescent="0.25">
      <c r="A131" s="5">
        <v>130</v>
      </c>
      <c r="B131" s="5" t="s">
        <v>71</v>
      </c>
      <c r="C131" s="5" t="s">
        <v>9</v>
      </c>
      <c r="D131" s="5">
        <v>3</v>
      </c>
      <c r="E131" s="12">
        <v>79.900000000000006</v>
      </c>
      <c r="F131" s="12">
        <v>239.7</v>
      </c>
    </row>
    <row r="132" spans="1:6" x14ac:dyDescent="0.25">
      <c r="A132" s="5">
        <v>131</v>
      </c>
      <c r="B132" s="5" t="s">
        <v>72</v>
      </c>
      <c r="C132" s="5" t="s">
        <v>13</v>
      </c>
      <c r="D132" s="5">
        <v>5337</v>
      </c>
      <c r="E132" s="12">
        <v>6.2</v>
      </c>
      <c r="F132" s="12">
        <v>33089.4</v>
      </c>
    </row>
    <row r="133" spans="1:6" x14ac:dyDescent="0.25">
      <c r="A133" s="5">
        <v>132</v>
      </c>
      <c r="B133" s="5" t="s">
        <v>73</v>
      </c>
      <c r="C133" s="5" t="s">
        <v>13</v>
      </c>
      <c r="D133" s="5">
        <v>4907</v>
      </c>
      <c r="E133" s="12">
        <v>6.2</v>
      </c>
      <c r="F133" s="12">
        <v>30423.4</v>
      </c>
    </row>
    <row r="134" spans="1:6" x14ac:dyDescent="0.25">
      <c r="A134" s="5">
        <v>133</v>
      </c>
      <c r="B134" s="5" t="s">
        <v>73</v>
      </c>
      <c r="C134" s="5" t="s">
        <v>8</v>
      </c>
      <c r="D134" s="5">
        <v>4144</v>
      </c>
      <c r="E134" s="12">
        <v>2.4</v>
      </c>
      <c r="F134" s="12">
        <v>9945.6</v>
      </c>
    </row>
    <row r="135" spans="1:6" x14ac:dyDescent="0.25">
      <c r="A135" s="5">
        <v>134</v>
      </c>
      <c r="B135" s="5" t="s">
        <v>74</v>
      </c>
      <c r="C135" s="5" t="s">
        <v>8</v>
      </c>
      <c r="D135" s="5">
        <v>2123</v>
      </c>
      <c r="E135" s="12">
        <v>2.4</v>
      </c>
      <c r="F135" s="12">
        <v>5095.2</v>
      </c>
    </row>
    <row r="136" spans="1:6" x14ac:dyDescent="0.25">
      <c r="A136" s="5">
        <v>135</v>
      </c>
      <c r="B136" s="5" t="s">
        <v>74</v>
      </c>
      <c r="C136" s="5" t="s">
        <v>9</v>
      </c>
      <c r="D136" s="5">
        <v>129</v>
      </c>
      <c r="E136" s="12">
        <v>79.900000000000006</v>
      </c>
      <c r="F136" s="12">
        <v>10307.1</v>
      </c>
    </row>
    <row r="137" spans="1:6" x14ac:dyDescent="0.25">
      <c r="A137" s="5">
        <v>136</v>
      </c>
      <c r="B137" s="5" t="s">
        <v>75</v>
      </c>
      <c r="C137" s="5" t="s">
        <v>8</v>
      </c>
      <c r="D137" s="5">
        <v>995</v>
      </c>
      <c r="E137" s="12">
        <v>2.4</v>
      </c>
      <c r="F137" s="12">
        <v>2388</v>
      </c>
    </row>
    <row r="138" spans="1:6" x14ac:dyDescent="0.25">
      <c r="A138" s="5">
        <v>137</v>
      </c>
      <c r="B138" s="5" t="s">
        <v>76</v>
      </c>
      <c r="C138" s="5" t="s">
        <v>10</v>
      </c>
      <c r="D138" s="5">
        <v>89</v>
      </c>
      <c r="E138" s="12">
        <v>9.5</v>
      </c>
      <c r="F138" s="12">
        <v>845.5</v>
      </c>
    </row>
    <row r="139" spans="1:6" x14ac:dyDescent="0.25">
      <c r="A139" s="5">
        <v>138</v>
      </c>
      <c r="B139" s="5" t="s">
        <v>76</v>
      </c>
      <c r="C139" s="5" t="s">
        <v>8</v>
      </c>
      <c r="D139" s="5">
        <v>1480</v>
      </c>
      <c r="E139" s="12">
        <v>2.4</v>
      </c>
      <c r="F139" s="12">
        <v>3552</v>
      </c>
    </row>
    <row r="140" spans="1:6" x14ac:dyDescent="0.25">
      <c r="A140" s="5">
        <v>139</v>
      </c>
      <c r="B140" s="5" t="s">
        <v>77</v>
      </c>
      <c r="C140" s="5" t="s">
        <v>9</v>
      </c>
      <c r="D140" s="5">
        <v>458</v>
      </c>
      <c r="E140" s="12">
        <v>79.900000000000006</v>
      </c>
      <c r="F140" s="12">
        <v>36594.199999999997</v>
      </c>
    </row>
    <row r="141" spans="1:6" x14ac:dyDescent="0.25">
      <c r="A141" s="5">
        <v>140</v>
      </c>
      <c r="B141" s="5" t="s">
        <v>77</v>
      </c>
      <c r="C141" s="5" t="s">
        <v>7</v>
      </c>
      <c r="D141" s="5">
        <v>2067</v>
      </c>
      <c r="E141" s="12">
        <v>2.6</v>
      </c>
      <c r="F141" s="12">
        <v>5374.2</v>
      </c>
    </row>
    <row r="142" spans="1:6" x14ac:dyDescent="0.25">
      <c r="A142" s="5">
        <v>141</v>
      </c>
      <c r="B142" s="5" t="s">
        <v>78</v>
      </c>
      <c r="C142" s="5" t="s">
        <v>13</v>
      </c>
      <c r="D142" s="5">
        <v>3315</v>
      </c>
      <c r="E142" s="12">
        <v>6.2</v>
      </c>
      <c r="F142" s="12">
        <v>20553</v>
      </c>
    </row>
    <row r="143" spans="1:6" x14ac:dyDescent="0.25">
      <c r="A143" s="5">
        <v>142</v>
      </c>
      <c r="B143" s="5" t="s">
        <v>79</v>
      </c>
      <c r="C143" s="5" t="s">
        <v>7</v>
      </c>
      <c r="D143" s="5">
        <v>473</v>
      </c>
      <c r="E143" s="12">
        <v>2.6</v>
      </c>
      <c r="F143" s="12">
        <v>1229.8</v>
      </c>
    </row>
    <row r="144" spans="1:6" x14ac:dyDescent="0.25">
      <c r="A144" s="5">
        <v>143</v>
      </c>
      <c r="B144" s="5" t="s">
        <v>80</v>
      </c>
      <c r="C144" s="5" t="s">
        <v>8</v>
      </c>
      <c r="D144" s="5">
        <v>8650</v>
      </c>
      <c r="E144" s="12">
        <v>2.4</v>
      </c>
      <c r="F144" s="12">
        <v>20760</v>
      </c>
    </row>
    <row r="145" spans="1:6" x14ac:dyDescent="0.25">
      <c r="A145" s="5">
        <v>144</v>
      </c>
      <c r="B145" s="5" t="s">
        <v>81</v>
      </c>
      <c r="C145" s="5" t="s">
        <v>9</v>
      </c>
      <c r="D145" s="5">
        <v>169</v>
      </c>
      <c r="E145" s="12">
        <v>79.900000000000006</v>
      </c>
      <c r="F145" s="12">
        <v>13503.1</v>
      </c>
    </row>
    <row r="146" spans="1:6" x14ac:dyDescent="0.25">
      <c r="A146" s="5">
        <v>145</v>
      </c>
      <c r="B146" s="5" t="s">
        <v>81</v>
      </c>
      <c r="C146" s="5" t="s">
        <v>13</v>
      </c>
      <c r="D146" s="5">
        <v>4978</v>
      </c>
      <c r="E146" s="12">
        <v>6.2</v>
      </c>
      <c r="F146" s="12">
        <v>30863.599999999999</v>
      </c>
    </row>
    <row r="147" spans="1:6" x14ac:dyDescent="0.25">
      <c r="A147" s="5">
        <v>146</v>
      </c>
      <c r="B147" s="5" t="s">
        <v>81</v>
      </c>
      <c r="C147" s="5" t="s">
        <v>7</v>
      </c>
      <c r="D147" s="5">
        <v>3746</v>
      </c>
      <c r="E147" s="12">
        <v>2.6</v>
      </c>
      <c r="F147" s="12">
        <v>9739.6</v>
      </c>
    </row>
    <row r="148" spans="1:6" x14ac:dyDescent="0.25">
      <c r="A148" s="5">
        <v>147</v>
      </c>
      <c r="B148" s="5" t="s">
        <v>82</v>
      </c>
      <c r="C148" s="5" t="s">
        <v>13</v>
      </c>
      <c r="D148" s="5">
        <v>1534</v>
      </c>
      <c r="E148" s="12">
        <v>6.2</v>
      </c>
      <c r="F148" s="12">
        <v>9510.7999999999993</v>
      </c>
    </row>
    <row r="149" spans="1:6" x14ac:dyDescent="0.25">
      <c r="A149" s="5">
        <v>148</v>
      </c>
      <c r="B149" s="5" t="s">
        <v>83</v>
      </c>
      <c r="C149" s="5" t="s">
        <v>10</v>
      </c>
      <c r="D149" s="5">
        <v>454</v>
      </c>
      <c r="E149" s="12">
        <v>9.5</v>
      </c>
      <c r="F149" s="12">
        <v>4313</v>
      </c>
    </row>
    <row r="150" spans="1:6" x14ac:dyDescent="0.25">
      <c r="A150" s="5">
        <v>149</v>
      </c>
      <c r="B150" s="5" t="s">
        <v>83</v>
      </c>
      <c r="C150" s="5" t="s">
        <v>9</v>
      </c>
      <c r="D150" s="5">
        <v>9</v>
      </c>
      <c r="E150" s="12">
        <v>79.900000000000006</v>
      </c>
      <c r="F150" s="12">
        <v>719.1</v>
      </c>
    </row>
    <row r="151" spans="1:6" x14ac:dyDescent="0.25">
      <c r="A151" s="5">
        <v>150</v>
      </c>
      <c r="B151" s="5" t="s">
        <v>83</v>
      </c>
      <c r="C151" s="5" t="s">
        <v>13</v>
      </c>
      <c r="D151" s="5">
        <v>1084</v>
      </c>
      <c r="E151" s="12">
        <v>6.2</v>
      </c>
      <c r="F151" s="12">
        <v>6720.8</v>
      </c>
    </row>
    <row r="152" spans="1:6" x14ac:dyDescent="0.25">
      <c r="A152" s="5">
        <v>151</v>
      </c>
      <c r="B152" s="5" t="s">
        <v>84</v>
      </c>
      <c r="C152" s="5" t="s">
        <v>13</v>
      </c>
      <c r="D152" s="5">
        <v>2370</v>
      </c>
      <c r="E152" s="12">
        <v>6.2</v>
      </c>
      <c r="F152" s="12">
        <v>14694</v>
      </c>
    </row>
    <row r="153" spans="1:6" x14ac:dyDescent="0.25">
      <c r="A153" s="5">
        <v>152</v>
      </c>
      <c r="B153" s="5" t="s">
        <v>84</v>
      </c>
      <c r="C153" s="5" t="s">
        <v>8</v>
      </c>
      <c r="D153" s="5">
        <v>6697</v>
      </c>
      <c r="E153" s="12">
        <v>2.4</v>
      </c>
      <c r="F153" s="12">
        <v>16072.8</v>
      </c>
    </row>
    <row r="154" spans="1:6" x14ac:dyDescent="0.25">
      <c r="A154" s="5">
        <v>153</v>
      </c>
      <c r="B154" s="5" t="s">
        <v>85</v>
      </c>
      <c r="C154" s="5" t="s">
        <v>8</v>
      </c>
      <c r="D154" s="5">
        <v>8167</v>
      </c>
      <c r="E154" s="12">
        <v>2.4</v>
      </c>
      <c r="F154" s="12">
        <v>19600.8</v>
      </c>
    </row>
    <row r="155" spans="1:6" x14ac:dyDescent="0.25">
      <c r="A155" s="5">
        <v>154</v>
      </c>
      <c r="B155" s="5" t="s">
        <v>85</v>
      </c>
      <c r="C155" s="5" t="s">
        <v>10</v>
      </c>
      <c r="D155" s="5">
        <v>329</v>
      </c>
      <c r="E155" s="12">
        <v>9.5</v>
      </c>
      <c r="F155" s="12">
        <v>3125.5</v>
      </c>
    </row>
    <row r="156" spans="1:6" x14ac:dyDescent="0.25">
      <c r="A156" s="5">
        <v>155</v>
      </c>
      <c r="B156" s="5" t="s">
        <v>85</v>
      </c>
      <c r="C156" s="5" t="s">
        <v>9</v>
      </c>
      <c r="D156" s="5">
        <v>22</v>
      </c>
      <c r="E156" s="12">
        <v>79.900000000000006</v>
      </c>
      <c r="F156" s="12">
        <v>1757.8</v>
      </c>
    </row>
    <row r="157" spans="1:6" x14ac:dyDescent="0.25">
      <c r="A157" s="5">
        <v>156</v>
      </c>
      <c r="B157" s="5" t="s">
        <v>86</v>
      </c>
      <c r="C157" s="5" t="s">
        <v>13</v>
      </c>
      <c r="D157" s="5">
        <v>4028</v>
      </c>
      <c r="E157" s="12">
        <v>6.2</v>
      </c>
      <c r="F157" s="12">
        <v>24973.599999999999</v>
      </c>
    </row>
    <row r="158" spans="1:6" x14ac:dyDescent="0.25">
      <c r="A158" s="5">
        <v>157</v>
      </c>
      <c r="B158" s="5" t="s">
        <v>87</v>
      </c>
      <c r="C158" s="5" t="s">
        <v>9</v>
      </c>
      <c r="D158" s="5">
        <v>210</v>
      </c>
      <c r="E158" s="12">
        <v>79.900000000000006</v>
      </c>
      <c r="F158" s="12">
        <v>16779</v>
      </c>
    </row>
    <row r="159" spans="1:6" x14ac:dyDescent="0.25">
      <c r="A159" s="5">
        <v>158</v>
      </c>
      <c r="B159" s="5" t="s">
        <v>87</v>
      </c>
      <c r="C159" s="5" t="s">
        <v>13</v>
      </c>
      <c r="D159" s="5">
        <v>3293</v>
      </c>
      <c r="E159" s="12">
        <v>6.2</v>
      </c>
      <c r="F159" s="12">
        <v>20416.599999999999</v>
      </c>
    </row>
    <row r="160" spans="1:6" x14ac:dyDescent="0.25">
      <c r="A160" s="5">
        <v>159</v>
      </c>
      <c r="B160" s="5" t="s">
        <v>88</v>
      </c>
      <c r="C160" s="5" t="s">
        <v>9</v>
      </c>
      <c r="D160" s="5">
        <v>230</v>
      </c>
      <c r="E160" s="12">
        <v>79.900000000000006</v>
      </c>
      <c r="F160" s="12">
        <v>18377</v>
      </c>
    </row>
    <row r="161" spans="1:6" x14ac:dyDescent="0.25">
      <c r="A161" s="5">
        <v>160</v>
      </c>
      <c r="B161" s="5" t="s">
        <v>88</v>
      </c>
      <c r="C161" s="5" t="s">
        <v>7</v>
      </c>
      <c r="D161" s="5">
        <v>201</v>
      </c>
      <c r="E161" s="12">
        <v>2.6</v>
      </c>
      <c r="F161" s="12">
        <v>522.6</v>
      </c>
    </row>
    <row r="162" spans="1:6" x14ac:dyDescent="0.25">
      <c r="A162" s="5">
        <v>161</v>
      </c>
      <c r="B162" s="5" t="s">
        <v>88</v>
      </c>
      <c r="C162" s="5" t="s">
        <v>8</v>
      </c>
      <c r="D162" s="5">
        <v>6733</v>
      </c>
      <c r="E162" s="12">
        <v>2.4</v>
      </c>
      <c r="F162" s="12">
        <v>16159.2</v>
      </c>
    </row>
    <row r="163" spans="1:6" x14ac:dyDescent="0.25">
      <c r="A163" s="5">
        <v>162</v>
      </c>
      <c r="B163" s="5" t="s">
        <v>89</v>
      </c>
      <c r="C163" s="5" t="s">
        <v>9</v>
      </c>
      <c r="D163" s="5">
        <v>430</v>
      </c>
      <c r="E163" s="12">
        <v>79.900000000000006</v>
      </c>
      <c r="F163" s="12">
        <v>34357</v>
      </c>
    </row>
    <row r="164" spans="1:6" x14ac:dyDescent="0.25">
      <c r="A164" s="5">
        <v>163</v>
      </c>
      <c r="B164" s="5" t="s">
        <v>89</v>
      </c>
      <c r="C164" s="5" t="s">
        <v>8</v>
      </c>
      <c r="D164" s="5">
        <v>2496</v>
      </c>
      <c r="E164" s="12">
        <v>2.4</v>
      </c>
      <c r="F164" s="12">
        <v>5990.4</v>
      </c>
    </row>
    <row r="165" spans="1:6" x14ac:dyDescent="0.25">
      <c r="A165" s="5">
        <v>164</v>
      </c>
      <c r="B165" s="5" t="s">
        <v>89</v>
      </c>
      <c r="C165" s="5" t="s">
        <v>7</v>
      </c>
      <c r="D165" s="5">
        <v>337</v>
      </c>
      <c r="E165" s="12">
        <v>2.6</v>
      </c>
      <c r="F165" s="12">
        <v>876.2</v>
      </c>
    </row>
    <row r="166" spans="1:6" x14ac:dyDescent="0.25">
      <c r="A166" s="5">
        <v>165</v>
      </c>
      <c r="B166" s="5" t="s">
        <v>90</v>
      </c>
      <c r="C166" s="5" t="s">
        <v>8</v>
      </c>
      <c r="D166" s="5">
        <v>1505</v>
      </c>
      <c r="E166" s="12">
        <v>2.4</v>
      </c>
      <c r="F166" s="12">
        <v>3612</v>
      </c>
    </row>
    <row r="167" spans="1:6" x14ac:dyDescent="0.25">
      <c r="A167" s="5">
        <v>166</v>
      </c>
      <c r="B167" s="5" t="s">
        <v>90</v>
      </c>
      <c r="C167" s="5" t="s">
        <v>7</v>
      </c>
      <c r="D167" s="5">
        <v>1891</v>
      </c>
      <c r="E167" s="12">
        <v>2.6</v>
      </c>
      <c r="F167" s="12">
        <v>4916.6000000000004</v>
      </c>
    </row>
    <row r="168" spans="1:6" x14ac:dyDescent="0.25">
      <c r="A168" s="5">
        <v>167</v>
      </c>
      <c r="B168" s="5" t="s">
        <v>91</v>
      </c>
      <c r="C168" s="5" t="s">
        <v>8</v>
      </c>
      <c r="D168" s="5">
        <v>2760</v>
      </c>
      <c r="E168" s="12">
        <v>2.4</v>
      </c>
      <c r="F168" s="12">
        <v>6624</v>
      </c>
    </row>
    <row r="169" spans="1:6" x14ac:dyDescent="0.25">
      <c r="A169" s="5">
        <v>168</v>
      </c>
      <c r="B169" s="5" t="s">
        <v>92</v>
      </c>
      <c r="C169" s="5" t="s">
        <v>10</v>
      </c>
      <c r="D169" s="5">
        <v>3096</v>
      </c>
      <c r="E169" s="12">
        <v>9.5</v>
      </c>
      <c r="F169" s="12">
        <v>29412</v>
      </c>
    </row>
    <row r="170" spans="1:6" x14ac:dyDescent="0.25">
      <c r="A170" s="5">
        <v>169</v>
      </c>
      <c r="B170" s="5" t="s">
        <v>92</v>
      </c>
      <c r="C170" s="5" t="s">
        <v>13</v>
      </c>
      <c r="D170" s="5">
        <v>3630</v>
      </c>
      <c r="E170" s="12">
        <v>6.2</v>
      </c>
      <c r="F170" s="12">
        <v>22506</v>
      </c>
    </row>
    <row r="171" spans="1:6" x14ac:dyDescent="0.25">
      <c r="A171" s="5">
        <v>170</v>
      </c>
      <c r="B171" s="5" t="s">
        <v>93</v>
      </c>
      <c r="C171" s="5" t="s">
        <v>9</v>
      </c>
      <c r="D171" s="5">
        <v>503</v>
      </c>
      <c r="E171" s="12">
        <v>79.900000000000006</v>
      </c>
      <c r="F171" s="12">
        <v>40189.699999999997</v>
      </c>
    </row>
    <row r="172" spans="1:6" x14ac:dyDescent="0.25">
      <c r="A172" s="5">
        <v>171</v>
      </c>
      <c r="B172" s="5" t="s">
        <v>94</v>
      </c>
      <c r="C172" s="5" t="s">
        <v>10</v>
      </c>
      <c r="D172" s="5">
        <v>677</v>
      </c>
      <c r="E172" s="12">
        <v>9.5</v>
      </c>
      <c r="F172" s="12">
        <v>6431.5</v>
      </c>
    </row>
    <row r="173" spans="1:6" x14ac:dyDescent="0.25">
      <c r="A173" s="5">
        <v>172</v>
      </c>
      <c r="B173" s="5" t="s">
        <v>94</v>
      </c>
      <c r="C173" s="5" t="s">
        <v>9</v>
      </c>
      <c r="D173" s="5">
        <v>409</v>
      </c>
      <c r="E173" s="12">
        <v>79.900000000000006</v>
      </c>
      <c r="F173" s="12">
        <v>32679.1</v>
      </c>
    </row>
    <row r="174" spans="1:6" x14ac:dyDescent="0.25">
      <c r="A174" s="5">
        <v>173</v>
      </c>
      <c r="B174" s="5" t="s">
        <v>95</v>
      </c>
      <c r="C174" s="5" t="s">
        <v>7</v>
      </c>
      <c r="D174" s="5">
        <v>8043</v>
      </c>
      <c r="E174" s="12">
        <v>2.6</v>
      </c>
      <c r="F174" s="12">
        <v>20911.8</v>
      </c>
    </row>
    <row r="175" spans="1:6" x14ac:dyDescent="0.25">
      <c r="A175" s="5">
        <v>174</v>
      </c>
      <c r="B175" s="5" t="s">
        <v>96</v>
      </c>
      <c r="C175" s="5" t="s">
        <v>10</v>
      </c>
      <c r="D175" s="5">
        <v>634</v>
      </c>
      <c r="E175" s="12">
        <v>9.5</v>
      </c>
      <c r="F175" s="12">
        <v>6023</v>
      </c>
    </row>
    <row r="176" spans="1:6" x14ac:dyDescent="0.25">
      <c r="A176" s="5">
        <v>175</v>
      </c>
      <c r="B176" s="5" t="s">
        <v>96</v>
      </c>
      <c r="C176" s="5" t="s">
        <v>8</v>
      </c>
      <c r="D176" s="5">
        <v>9445</v>
      </c>
      <c r="E176" s="12">
        <v>2.4</v>
      </c>
      <c r="F176" s="12">
        <v>22668</v>
      </c>
    </row>
    <row r="177" spans="1:6" x14ac:dyDescent="0.25">
      <c r="A177" s="5">
        <v>176</v>
      </c>
      <c r="B177" s="5" t="s">
        <v>96</v>
      </c>
      <c r="C177" s="5" t="s">
        <v>13</v>
      </c>
      <c r="D177" s="5">
        <v>2389</v>
      </c>
      <c r="E177" s="12">
        <v>6.2</v>
      </c>
      <c r="F177" s="12">
        <v>14811.8</v>
      </c>
    </row>
    <row r="178" spans="1:6" x14ac:dyDescent="0.25">
      <c r="A178" s="5">
        <v>177</v>
      </c>
      <c r="B178" s="5" t="s">
        <v>96</v>
      </c>
      <c r="C178" s="5" t="s">
        <v>9</v>
      </c>
      <c r="D178" s="5">
        <v>143</v>
      </c>
      <c r="E178" s="12">
        <v>79.900000000000006</v>
      </c>
      <c r="F178" s="12">
        <v>11425.7</v>
      </c>
    </row>
    <row r="179" spans="1:6" x14ac:dyDescent="0.25">
      <c r="A179" s="5">
        <v>178</v>
      </c>
      <c r="B179" s="5" t="s">
        <v>96</v>
      </c>
      <c r="C179" s="5" t="s">
        <v>7</v>
      </c>
      <c r="D179" s="5">
        <v>977</v>
      </c>
      <c r="E179" s="12">
        <v>2.6</v>
      </c>
      <c r="F179" s="12">
        <v>2540.1999999999998</v>
      </c>
    </row>
    <row r="180" spans="1:6" x14ac:dyDescent="0.25">
      <c r="A180" s="5">
        <v>179</v>
      </c>
      <c r="B180" s="5" t="s">
        <v>97</v>
      </c>
      <c r="C180" s="5" t="s">
        <v>9</v>
      </c>
      <c r="D180" s="5">
        <v>8</v>
      </c>
      <c r="E180" s="12">
        <v>79.900000000000006</v>
      </c>
      <c r="F180" s="12">
        <v>639.20000000000005</v>
      </c>
    </row>
    <row r="181" spans="1:6" x14ac:dyDescent="0.25">
      <c r="A181" s="5">
        <v>180</v>
      </c>
      <c r="B181" s="5" t="s">
        <v>97</v>
      </c>
      <c r="C181" s="5" t="s">
        <v>10</v>
      </c>
      <c r="D181" s="5">
        <v>2975</v>
      </c>
      <c r="E181" s="12">
        <v>9.5</v>
      </c>
      <c r="F181" s="12">
        <v>28262.5</v>
      </c>
    </row>
    <row r="182" spans="1:6" x14ac:dyDescent="0.25">
      <c r="A182" s="5">
        <v>181</v>
      </c>
      <c r="B182" s="5" t="s">
        <v>97</v>
      </c>
      <c r="C182" s="5" t="s">
        <v>7</v>
      </c>
      <c r="D182" s="5">
        <v>8395</v>
      </c>
      <c r="E182" s="12">
        <v>2.6</v>
      </c>
      <c r="F182" s="12">
        <v>21827</v>
      </c>
    </row>
    <row r="183" spans="1:6" x14ac:dyDescent="0.25">
      <c r="A183" s="5">
        <v>182</v>
      </c>
      <c r="B183" s="5" t="s">
        <v>98</v>
      </c>
      <c r="C183" s="5" t="s">
        <v>13</v>
      </c>
      <c r="D183" s="5">
        <v>1651</v>
      </c>
      <c r="E183" s="12">
        <v>6.2</v>
      </c>
      <c r="F183" s="12">
        <v>10236.200000000001</v>
      </c>
    </row>
    <row r="184" spans="1:6" x14ac:dyDescent="0.25">
      <c r="A184" s="5">
        <v>183</v>
      </c>
      <c r="B184" s="5" t="s">
        <v>99</v>
      </c>
      <c r="C184" s="5" t="s">
        <v>13</v>
      </c>
      <c r="D184" s="5">
        <v>5348</v>
      </c>
      <c r="E184" s="12">
        <v>6.2</v>
      </c>
      <c r="F184" s="12">
        <v>33157.599999999999</v>
      </c>
    </row>
    <row r="185" spans="1:6" x14ac:dyDescent="0.25">
      <c r="A185" s="5">
        <v>184</v>
      </c>
      <c r="B185" s="5" t="s">
        <v>100</v>
      </c>
      <c r="C185" s="5" t="s">
        <v>8</v>
      </c>
      <c r="D185" s="5">
        <v>8183</v>
      </c>
      <c r="E185" s="12">
        <v>2.4</v>
      </c>
      <c r="F185" s="12">
        <v>19639.2</v>
      </c>
    </row>
    <row r="186" spans="1:6" x14ac:dyDescent="0.25">
      <c r="A186" s="5">
        <v>185</v>
      </c>
      <c r="B186" s="5" t="s">
        <v>100</v>
      </c>
      <c r="C186" s="5" t="s">
        <v>9</v>
      </c>
      <c r="D186" s="5">
        <v>183</v>
      </c>
      <c r="E186" s="12">
        <v>79.900000000000006</v>
      </c>
      <c r="F186" s="12">
        <v>14621.7</v>
      </c>
    </row>
    <row r="187" spans="1:6" x14ac:dyDescent="0.25">
      <c r="A187" s="5">
        <v>186</v>
      </c>
      <c r="B187" s="5" t="s">
        <v>101</v>
      </c>
      <c r="C187" s="5" t="s">
        <v>7</v>
      </c>
      <c r="D187" s="5">
        <v>8386</v>
      </c>
      <c r="E187" s="12">
        <v>2.6</v>
      </c>
      <c r="F187" s="12">
        <v>21803.599999999999</v>
      </c>
    </row>
    <row r="188" spans="1:6" x14ac:dyDescent="0.25">
      <c r="A188" s="5">
        <v>187</v>
      </c>
      <c r="B188" s="5" t="s">
        <v>101</v>
      </c>
      <c r="C188" s="5" t="s">
        <v>8</v>
      </c>
      <c r="D188" s="5">
        <v>1633</v>
      </c>
      <c r="E188" s="12">
        <v>2.4</v>
      </c>
      <c r="F188" s="12">
        <v>3919.2</v>
      </c>
    </row>
    <row r="189" spans="1:6" x14ac:dyDescent="0.25">
      <c r="A189" s="5">
        <v>188</v>
      </c>
      <c r="B189" s="5" t="s">
        <v>102</v>
      </c>
      <c r="C189" s="5" t="s">
        <v>13</v>
      </c>
      <c r="D189" s="5">
        <v>438</v>
      </c>
      <c r="E189" s="12">
        <v>6.2</v>
      </c>
      <c r="F189" s="12">
        <v>2715.6</v>
      </c>
    </row>
    <row r="190" spans="1:6" x14ac:dyDescent="0.25">
      <c r="A190" s="5">
        <v>189</v>
      </c>
      <c r="B190" s="5" t="s">
        <v>102</v>
      </c>
      <c r="C190" s="5" t="s">
        <v>10</v>
      </c>
      <c r="D190" s="5">
        <v>646</v>
      </c>
      <c r="E190" s="12">
        <v>9.5</v>
      </c>
      <c r="F190" s="12">
        <v>6137</v>
      </c>
    </row>
    <row r="191" spans="1:6" x14ac:dyDescent="0.25">
      <c r="A191" s="5">
        <v>190</v>
      </c>
      <c r="B191" s="5" t="s">
        <v>102</v>
      </c>
      <c r="C191" s="5" t="s">
        <v>7</v>
      </c>
      <c r="D191" s="5">
        <v>8074</v>
      </c>
      <c r="E191" s="12">
        <v>2.6</v>
      </c>
      <c r="F191" s="12">
        <v>20992.400000000001</v>
      </c>
    </row>
    <row r="192" spans="1:6" x14ac:dyDescent="0.25">
      <c r="A192" s="5">
        <v>191</v>
      </c>
      <c r="B192" s="5" t="s">
        <v>102</v>
      </c>
      <c r="C192" s="5" t="s">
        <v>8</v>
      </c>
      <c r="D192" s="5">
        <v>3718</v>
      </c>
      <c r="E192" s="12">
        <v>2.4</v>
      </c>
      <c r="F192" s="12">
        <v>8923.2000000000007</v>
      </c>
    </row>
    <row r="193" spans="1:6" x14ac:dyDescent="0.25">
      <c r="A193" s="5">
        <v>192</v>
      </c>
      <c r="B193" s="5" t="s">
        <v>103</v>
      </c>
      <c r="C193" s="5" t="s">
        <v>13</v>
      </c>
      <c r="D193" s="5">
        <v>2272</v>
      </c>
      <c r="E193" s="12">
        <v>6.2</v>
      </c>
      <c r="F193" s="12">
        <v>14086.4</v>
      </c>
    </row>
    <row r="194" spans="1:6" x14ac:dyDescent="0.25">
      <c r="A194" s="5">
        <v>193</v>
      </c>
      <c r="B194" s="5" t="s">
        <v>103</v>
      </c>
      <c r="C194" s="5" t="s">
        <v>7</v>
      </c>
      <c r="D194" s="5">
        <v>3516</v>
      </c>
      <c r="E194" s="12">
        <v>2.6</v>
      </c>
      <c r="F194" s="12">
        <v>9141.6</v>
      </c>
    </row>
    <row r="195" spans="1:6" x14ac:dyDescent="0.25">
      <c r="A195" s="5">
        <v>194</v>
      </c>
      <c r="B195" s="5" t="s">
        <v>103</v>
      </c>
      <c r="C195" s="5" t="s">
        <v>9</v>
      </c>
      <c r="D195" s="5">
        <v>103</v>
      </c>
      <c r="E195" s="12">
        <v>79.900000000000006</v>
      </c>
      <c r="F195" s="12">
        <v>8229.7000000000007</v>
      </c>
    </row>
    <row r="196" spans="1:6" x14ac:dyDescent="0.25">
      <c r="A196" s="5">
        <v>195</v>
      </c>
      <c r="B196" s="5" t="s">
        <v>103</v>
      </c>
      <c r="C196" s="5" t="s">
        <v>8</v>
      </c>
      <c r="D196" s="5">
        <v>8070</v>
      </c>
      <c r="E196" s="12">
        <v>2.4</v>
      </c>
      <c r="F196" s="12">
        <v>19368</v>
      </c>
    </row>
    <row r="197" spans="1:6" x14ac:dyDescent="0.25">
      <c r="A197" s="5">
        <v>196</v>
      </c>
      <c r="B197" s="5" t="s">
        <v>104</v>
      </c>
      <c r="C197" s="5" t="s">
        <v>13</v>
      </c>
      <c r="D197" s="5">
        <v>1443</v>
      </c>
      <c r="E197" s="12">
        <v>6.2</v>
      </c>
      <c r="F197" s="12">
        <v>8946.6</v>
      </c>
    </row>
    <row r="198" spans="1:6" x14ac:dyDescent="0.25">
      <c r="A198" s="5">
        <v>197</v>
      </c>
      <c r="B198" s="5" t="s">
        <v>104</v>
      </c>
      <c r="C198" s="5" t="s">
        <v>9</v>
      </c>
      <c r="D198" s="5">
        <v>518</v>
      </c>
      <c r="E198" s="12">
        <v>79.900000000000006</v>
      </c>
      <c r="F198" s="12">
        <v>41388.199999999997</v>
      </c>
    </row>
    <row r="199" spans="1:6" x14ac:dyDescent="0.25">
      <c r="A199" s="5">
        <v>198</v>
      </c>
      <c r="B199" s="5" t="s">
        <v>104</v>
      </c>
      <c r="C199" s="5" t="s">
        <v>8</v>
      </c>
      <c r="D199" s="5">
        <v>1731</v>
      </c>
      <c r="E199" s="12">
        <v>2.4</v>
      </c>
      <c r="F199" s="12">
        <v>4154.3999999999996</v>
      </c>
    </row>
    <row r="200" spans="1:6" x14ac:dyDescent="0.25">
      <c r="A200" s="5">
        <v>199</v>
      </c>
      <c r="B200" s="5" t="s">
        <v>105</v>
      </c>
      <c r="C200" s="5" t="s">
        <v>8</v>
      </c>
      <c r="D200" s="5">
        <v>8265</v>
      </c>
      <c r="E200" s="12">
        <v>2.4</v>
      </c>
      <c r="F200" s="12">
        <v>19836</v>
      </c>
    </row>
    <row r="201" spans="1:6" x14ac:dyDescent="0.25">
      <c r="A201" s="5">
        <v>200</v>
      </c>
      <c r="B201" s="5" t="s">
        <v>105</v>
      </c>
      <c r="C201" s="5" t="s">
        <v>7</v>
      </c>
      <c r="D201" s="5">
        <v>450</v>
      </c>
      <c r="E201" s="12">
        <v>2.6</v>
      </c>
      <c r="F201" s="12">
        <v>1170</v>
      </c>
    </row>
    <row r="202" spans="1:6" x14ac:dyDescent="0.25">
      <c r="A202" s="5">
        <v>201</v>
      </c>
      <c r="B202" s="5" t="s">
        <v>105</v>
      </c>
      <c r="C202" s="5" t="s">
        <v>9</v>
      </c>
      <c r="D202" s="5">
        <v>140</v>
      </c>
      <c r="E202" s="12">
        <v>79.900000000000006</v>
      </c>
      <c r="F202" s="12">
        <v>11186</v>
      </c>
    </row>
    <row r="203" spans="1:6" x14ac:dyDescent="0.25">
      <c r="A203" s="5">
        <v>202</v>
      </c>
      <c r="B203" s="5" t="s">
        <v>106</v>
      </c>
      <c r="C203" s="5" t="s">
        <v>7</v>
      </c>
      <c r="D203" s="5">
        <v>9250</v>
      </c>
      <c r="E203" s="12">
        <v>2.6</v>
      </c>
      <c r="F203" s="12">
        <v>24050</v>
      </c>
    </row>
    <row r="204" spans="1:6" x14ac:dyDescent="0.25">
      <c r="A204" s="5">
        <v>203</v>
      </c>
      <c r="B204" s="5" t="s">
        <v>107</v>
      </c>
      <c r="C204" s="5" t="s">
        <v>10</v>
      </c>
      <c r="D204" s="5">
        <v>2257</v>
      </c>
      <c r="E204" s="12">
        <v>9.5</v>
      </c>
      <c r="F204" s="12">
        <v>21441.5</v>
      </c>
    </row>
    <row r="205" spans="1:6" x14ac:dyDescent="0.25">
      <c r="A205" s="5">
        <v>204</v>
      </c>
      <c r="B205" s="5" t="s">
        <v>107</v>
      </c>
      <c r="C205" s="5" t="s">
        <v>8</v>
      </c>
      <c r="D205" s="5">
        <v>1681</v>
      </c>
      <c r="E205" s="12">
        <v>2.4</v>
      </c>
      <c r="F205" s="12">
        <v>4034.4</v>
      </c>
    </row>
    <row r="206" spans="1:6" x14ac:dyDescent="0.25">
      <c r="A206" s="5">
        <v>205</v>
      </c>
      <c r="B206" s="5" t="s">
        <v>108</v>
      </c>
      <c r="C206" s="5" t="s">
        <v>7</v>
      </c>
      <c r="D206" s="5">
        <v>731</v>
      </c>
      <c r="E206" s="12">
        <v>2.6</v>
      </c>
      <c r="F206" s="12">
        <v>1900.6</v>
      </c>
    </row>
    <row r="207" spans="1:6" x14ac:dyDescent="0.25">
      <c r="A207" s="5">
        <v>206</v>
      </c>
      <c r="B207" s="5" t="s">
        <v>108</v>
      </c>
      <c r="C207" s="5" t="s">
        <v>8</v>
      </c>
      <c r="D207" s="5">
        <v>8821</v>
      </c>
      <c r="E207" s="12">
        <v>2.4</v>
      </c>
      <c r="F207" s="12">
        <v>21170.400000000001</v>
      </c>
    </row>
    <row r="208" spans="1:6" x14ac:dyDescent="0.25">
      <c r="A208" s="5">
        <v>207</v>
      </c>
      <c r="B208" s="5" t="s">
        <v>109</v>
      </c>
      <c r="C208" s="5" t="s">
        <v>7</v>
      </c>
      <c r="D208" s="5">
        <v>809</v>
      </c>
      <c r="E208" s="12">
        <v>2.6</v>
      </c>
      <c r="F208" s="12">
        <v>2103.4</v>
      </c>
    </row>
    <row r="209" spans="1:6" x14ac:dyDescent="0.25">
      <c r="A209" s="5">
        <v>208</v>
      </c>
      <c r="B209" s="5" t="s">
        <v>110</v>
      </c>
      <c r="C209" s="5" t="s">
        <v>13</v>
      </c>
      <c r="D209" s="5">
        <v>5679</v>
      </c>
      <c r="E209" s="12">
        <v>6.2</v>
      </c>
      <c r="F209" s="12">
        <v>35209.800000000003</v>
      </c>
    </row>
    <row r="210" spans="1:6" x14ac:dyDescent="0.25">
      <c r="A210" s="5">
        <v>209</v>
      </c>
      <c r="B210" s="5" t="s">
        <v>111</v>
      </c>
      <c r="C210" s="5" t="s">
        <v>10</v>
      </c>
      <c r="D210" s="5">
        <v>2025</v>
      </c>
      <c r="E210" s="12">
        <v>9.5</v>
      </c>
      <c r="F210" s="12">
        <v>19237.5</v>
      </c>
    </row>
    <row r="211" spans="1:6" x14ac:dyDescent="0.25">
      <c r="A211" s="5">
        <v>210</v>
      </c>
      <c r="B211" s="5" t="s">
        <v>111</v>
      </c>
      <c r="C211" s="5" t="s">
        <v>8</v>
      </c>
      <c r="D211" s="5">
        <v>1466</v>
      </c>
      <c r="E211" s="12">
        <v>2.4</v>
      </c>
      <c r="F211" s="12">
        <v>3518.4</v>
      </c>
    </row>
    <row r="212" spans="1:6" x14ac:dyDescent="0.25">
      <c r="A212" s="5">
        <v>211</v>
      </c>
      <c r="B212" s="5" t="s">
        <v>111</v>
      </c>
      <c r="C212" s="5" t="s">
        <v>13</v>
      </c>
      <c r="D212" s="5">
        <v>301</v>
      </c>
      <c r="E212" s="12">
        <v>6.2</v>
      </c>
      <c r="F212" s="12">
        <v>1866.2</v>
      </c>
    </row>
    <row r="213" spans="1:6" x14ac:dyDescent="0.25">
      <c r="A213" s="5">
        <v>212</v>
      </c>
      <c r="B213" s="5" t="s">
        <v>111</v>
      </c>
      <c r="C213" s="5" t="s">
        <v>9</v>
      </c>
      <c r="D213" s="5">
        <v>172</v>
      </c>
      <c r="E213" s="12">
        <v>79.900000000000006</v>
      </c>
      <c r="F213" s="12">
        <v>13742.8</v>
      </c>
    </row>
    <row r="214" spans="1:6" x14ac:dyDescent="0.25">
      <c r="A214" s="5">
        <v>213</v>
      </c>
      <c r="B214" s="5" t="s">
        <v>111</v>
      </c>
      <c r="C214" s="5" t="s">
        <v>7</v>
      </c>
      <c r="D214" s="5">
        <v>2275</v>
      </c>
      <c r="E214" s="12">
        <v>2.6</v>
      </c>
      <c r="F214" s="12">
        <v>5915</v>
      </c>
    </row>
    <row r="215" spans="1:6" x14ac:dyDescent="0.25">
      <c r="A215" s="5">
        <v>214</v>
      </c>
      <c r="B215" s="5" t="s">
        <v>112</v>
      </c>
      <c r="C215" s="5" t="s">
        <v>8</v>
      </c>
      <c r="D215" s="5">
        <v>2158</v>
      </c>
      <c r="E215" s="12">
        <v>2.4</v>
      </c>
      <c r="F215" s="12">
        <v>5179.2</v>
      </c>
    </row>
    <row r="216" spans="1:6" x14ac:dyDescent="0.25">
      <c r="A216" s="5">
        <v>215</v>
      </c>
      <c r="B216" s="5" t="s">
        <v>112</v>
      </c>
      <c r="C216" s="5" t="s">
        <v>13</v>
      </c>
      <c r="D216" s="5">
        <v>3368</v>
      </c>
      <c r="E216" s="12">
        <v>6.2</v>
      </c>
      <c r="F216" s="12">
        <v>20881.599999999999</v>
      </c>
    </row>
    <row r="217" spans="1:6" x14ac:dyDescent="0.25">
      <c r="A217" s="5">
        <v>216</v>
      </c>
      <c r="B217" s="5" t="s">
        <v>112</v>
      </c>
      <c r="C217" s="5" t="s">
        <v>10</v>
      </c>
      <c r="D217" s="5">
        <v>408</v>
      </c>
      <c r="E217" s="12">
        <v>9.5</v>
      </c>
      <c r="F217" s="12">
        <v>3876</v>
      </c>
    </row>
    <row r="218" spans="1:6" x14ac:dyDescent="0.25">
      <c r="A218" s="5">
        <v>217</v>
      </c>
      <c r="B218" s="5" t="s">
        <v>112</v>
      </c>
      <c r="C218" s="5" t="s">
        <v>9</v>
      </c>
      <c r="D218" s="5">
        <v>139</v>
      </c>
      <c r="E218" s="12">
        <v>79.900000000000006</v>
      </c>
      <c r="F218" s="12">
        <v>11106.1</v>
      </c>
    </row>
    <row r="219" spans="1:6" x14ac:dyDescent="0.25">
      <c r="A219" s="5">
        <v>218</v>
      </c>
      <c r="B219" s="5" t="s">
        <v>113</v>
      </c>
      <c r="C219" s="5" t="s">
        <v>9</v>
      </c>
      <c r="D219" s="5">
        <v>200</v>
      </c>
      <c r="E219" s="12">
        <v>79.900000000000006</v>
      </c>
      <c r="F219" s="12">
        <v>15980</v>
      </c>
    </row>
    <row r="220" spans="1:6" x14ac:dyDescent="0.25">
      <c r="A220" s="5">
        <v>219</v>
      </c>
      <c r="B220" s="5" t="s">
        <v>113</v>
      </c>
      <c r="C220" s="5" t="s">
        <v>13</v>
      </c>
      <c r="D220" s="5">
        <v>2997</v>
      </c>
      <c r="E220" s="12">
        <v>6.2</v>
      </c>
      <c r="F220" s="12">
        <v>18581.400000000001</v>
      </c>
    </row>
    <row r="221" spans="1:6" x14ac:dyDescent="0.25">
      <c r="A221" s="5">
        <v>220</v>
      </c>
      <c r="B221" s="5" t="s">
        <v>113</v>
      </c>
      <c r="C221" s="5" t="s">
        <v>7</v>
      </c>
      <c r="D221" s="5">
        <v>6895</v>
      </c>
      <c r="E221" s="12">
        <v>2.6</v>
      </c>
      <c r="F221" s="12">
        <v>17927</v>
      </c>
    </row>
    <row r="222" spans="1:6" x14ac:dyDescent="0.25">
      <c r="A222" s="5">
        <v>221</v>
      </c>
      <c r="B222" s="5" t="s">
        <v>114</v>
      </c>
      <c r="C222" s="5" t="s">
        <v>9</v>
      </c>
      <c r="D222" s="5">
        <v>153</v>
      </c>
      <c r="E222" s="12">
        <v>79.900000000000006</v>
      </c>
      <c r="F222" s="12">
        <v>12224.7</v>
      </c>
    </row>
    <row r="223" spans="1:6" x14ac:dyDescent="0.25">
      <c r="A223" s="5">
        <v>222</v>
      </c>
      <c r="B223" s="5" t="s">
        <v>115</v>
      </c>
      <c r="C223" s="5" t="s">
        <v>13</v>
      </c>
      <c r="D223" s="5">
        <v>2852</v>
      </c>
      <c r="E223" s="12">
        <v>6.2</v>
      </c>
      <c r="F223" s="12">
        <v>17682.400000000001</v>
      </c>
    </row>
    <row r="224" spans="1:6" x14ac:dyDescent="0.25">
      <c r="A224" s="5">
        <v>223</v>
      </c>
      <c r="B224" s="5" t="s">
        <v>116</v>
      </c>
      <c r="C224" s="5" t="s">
        <v>7</v>
      </c>
      <c r="D224" s="5">
        <v>7229</v>
      </c>
      <c r="E224" s="12">
        <v>2.6</v>
      </c>
      <c r="F224" s="12">
        <v>18795.400000000001</v>
      </c>
    </row>
    <row r="225" spans="1:6" x14ac:dyDescent="0.25">
      <c r="A225" s="5">
        <v>224</v>
      </c>
      <c r="B225" s="5" t="s">
        <v>116</v>
      </c>
      <c r="C225" s="5" t="s">
        <v>8</v>
      </c>
      <c r="D225" s="5">
        <v>5213</v>
      </c>
      <c r="E225" s="12">
        <v>2.4</v>
      </c>
      <c r="F225" s="12">
        <v>12511.2</v>
      </c>
    </row>
    <row r="226" spans="1:6" x14ac:dyDescent="0.25">
      <c r="A226" s="5">
        <v>225</v>
      </c>
      <c r="B226" s="5" t="s">
        <v>117</v>
      </c>
      <c r="C226" s="5" t="s">
        <v>10</v>
      </c>
      <c r="D226" s="5">
        <v>3301</v>
      </c>
      <c r="E226" s="12">
        <v>9.5</v>
      </c>
      <c r="F226" s="12">
        <v>31359.5</v>
      </c>
    </row>
    <row r="227" spans="1:6" x14ac:dyDescent="0.25">
      <c r="A227" s="5">
        <v>226</v>
      </c>
      <c r="B227" s="5" t="s">
        <v>118</v>
      </c>
      <c r="C227" s="5" t="s">
        <v>13</v>
      </c>
      <c r="D227" s="5">
        <v>1426</v>
      </c>
      <c r="E227" s="12">
        <v>6.2</v>
      </c>
      <c r="F227" s="12">
        <v>8841.2000000000007</v>
      </c>
    </row>
    <row r="228" spans="1:6" x14ac:dyDescent="0.25">
      <c r="A228" s="5">
        <v>227</v>
      </c>
      <c r="B228" s="5" t="s">
        <v>119</v>
      </c>
      <c r="C228" s="5" t="s">
        <v>8</v>
      </c>
      <c r="D228" s="5">
        <v>4578</v>
      </c>
      <c r="E228" s="12">
        <v>2.4</v>
      </c>
      <c r="F228" s="12">
        <v>10987.2</v>
      </c>
    </row>
    <row r="229" spans="1:6" x14ac:dyDescent="0.25">
      <c r="A229" s="5">
        <v>228</v>
      </c>
      <c r="B229" s="5" t="s">
        <v>120</v>
      </c>
      <c r="C229" s="5" t="s">
        <v>8</v>
      </c>
      <c r="D229" s="5">
        <v>7041</v>
      </c>
      <c r="E229" s="12">
        <v>2.4</v>
      </c>
      <c r="F229" s="12">
        <v>16898.400000000001</v>
      </c>
    </row>
    <row r="230" spans="1:6" x14ac:dyDescent="0.25">
      <c r="A230" s="5">
        <v>229</v>
      </c>
      <c r="B230" s="5" t="s">
        <v>121</v>
      </c>
      <c r="C230" s="5" t="s">
        <v>9</v>
      </c>
      <c r="D230" s="5">
        <v>552</v>
      </c>
      <c r="E230" s="12">
        <v>79.900000000000006</v>
      </c>
      <c r="F230" s="12">
        <v>44104.800000000003</v>
      </c>
    </row>
    <row r="231" spans="1:6" x14ac:dyDescent="0.25">
      <c r="A231" s="5">
        <v>230</v>
      </c>
      <c r="B231" s="5" t="s">
        <v>122</v>
      </c>
      <c r="C231" s="5" t="s">
        <v>8</v>
      </c>
      <c r="D231" s="5">
        <v>65</v>
      </c>
      <c r="E231" s="12">
        <v>2.4</v>
      </c>
      <c r="F231" s="12">
        <v>156</v>
      </c>
    </row>
    <row r="232" spans="1:6" x14ac:dyDescent="0.25">
      <c r="A232" s="5">
        <v>231</v>
      </c>
      <c r="B232" s="5" t="s">
        <v>122</v>
      </c>
      <c r="C232" s="5" t="s">
        <v>10</v>
      </c>
      <c r="D232" s="5">
        <v>694</v>
      </c>
      <c r="E232" s="12">
        <v>9.5</v>
      </c>
      <c r="F232" s="12">
        <v>6593</v>
      </c>
    </row>
    <row r="233" spans="1:6" x14ac:dyDescent="0.25">
      <c r="A233" s="5">
        <v>232</v>
      </c>
      <c r="B233" s="5" t="s">
        <v>122</v>
      </c>
      <c r="C233" s="5" t="s">
        <v>13</v>
      </c>
      <c r="D233" s="5">
        <v>1677</v>
      </c>
      <c r="E233" s="12">
        <v>6.2</v>
      </c>
      <c r="F233" s="12">
        <v>10397.4</v>
      </c>
    </row>
    <row r="234" spans="1:6" x14ac:dyDescent="0.25">
      <c r="A234" s="5">
        <v>233</v>
      </c>
      <c r="B234" s="5" t="s">
        <v>122</v>
      </c>
      <c r="C234" s="5" t="s">
        <v>7</v>
      </c>
      <c r="D234" s="5">
        <v>8054</v>
      </c>
      <c r="E234" s="12">
        <v>2.6</v>
      </c>
      <c r="F234" s="12">
        <v>20940.400000000001</v>
      </c>
    </row>
    <row r="235" spans="1:6" x14ac:dyDescent="0.25">
      <c r="A235" s="5">
        <v>234</v>
      </c>
      <c r="B235" s="5" t="s">
        <v>122</v>
      </c>
      <c r="C235" s="5" t="s">
        <v>9</v>
      </c>
      <c r="D235" s="5">
        <v>32</v>
      </c>
      <c r="E235" s="12">
        <v>79.900000000000006</v>
      </c>
      <c r="F235" s="12">
        <v>2556.8000000000002</v>
      </c>
    </row>
    <row r="236" spans="1:6" x14ac:dyDescent="0.25">
      <c r="A236" s="5">
        <v>235</v>
      </c>
      <c r="B236" s="5" t="s">
        <v>123</v>
      </c>
      <c r="C236" s="5" t="s">
        <v>7</v>
      </c>
      <c r="D236" s="5">
        <v>2453</v>
      </c>
      <c r="E236" s="12">
        <v>2.6</v>
      </c>
      <c r="F236" s="12">
        <v>6377.8</v>
      </c>
    </row>
    <row r="237" spans="1:6" x14ac:dyDescent="0.25">
      <c r="A237" s="5">
        <v>236</v>
      </c>
      <c r="B237" s="5" t="s">
        <v>123</v>
      </c>
      <c r="C237" s="5" t="s">
        <v>9</v>
      </c>
      <c r="D237" s="5">
        <v>186</v>
      </c>
      <c r="E237" s="12">
        <v>79.900000000000006</v>
      </c>
      <c r="F237" s="12">
        <v>14861.4</v>
      </c>
    </row>
    <row r="238" spans="1:6" x14ac:dyDescent="0.25">
      <c r="A238" s="5">
        <v>237</v>
      </c>
      <c r="B238" s="5" t="s">
        <v>124</v>
      </c>
      <c r="C238" s="5" t="s">
        <v>8</v>
      </c>
      <c r="D238" s="5">
        <v>8619</v>
      </c>
      <c r="E238" s="12">
        <v>2.4</v>
      </c>
      <c r="F238" s="12">
        <v>20685.599999999999</v>
      </c>
    </row>
    <row r="239" spans="1:6" x14ac:dyDescent="0.25">
      <c r="A239" s="5">
        <v>238</v>
      </c>
      <c r="B239" s="5" t="s">
        <v>124</v>
      </c>
      <c r="C239" s="5" t="s">
        <v>10</v>
      </c>
      <c r="D239" s="5">
        <v>2139</v>
      </c>
      <c r="E239" s="12">
        <v>9.5</v>
      </c>
      <c r="F239" s="12">
        <v>20320.5</v>
      </c>
    </row>
    <row r="240" spans="1:6" x14ac:dyDescent="0.25">
      <c r="A240" s="5">
        <v>239</v>
      </c>
      <c r="B240" s="5" t="s">
        <v>124</v>
      </c>
      <c r="C240" s="5" t="s">
        <v>9</v>
      </c>
      <c r="D240" s="5">
        <v>4</v>
      </c>
      <c r="E240" s="12">
        <v>79.900000000000006</v>
      </c>
      <c r="F240" s="12">
        <v>319.60000000000002</v>
      </c>
    </row>
    <row r="241" spans="1:6" x14ac:dyDescent="0.25">
      <c r="A241" s="5">
        <v>240</v>
      </c>
      <c r="B241" s="5" t="s">
        <v>125</v>
      </c>
      <c r="C241" s="5" t="s">
        <v>10</v>
      </c>
      <c r="D241" s="5">
        <v>998</v>
      </c>
      <c r="E241" s="12">
        <v>9.5</v>
      </c>
      <c r="F241" s="12">
        <v>9481</v>
      </c>
    </row>
    <row r="242" spans="1:6" x14ac:dyDescent="0.25">
      <c r="A242" s="5">
        <v>241</v>
      </c>
      <c r="B242" s="5" t="s">
        <v>125</v>
      </c>
      <c r="C242" s="5" t="s">
        <v>9</v>
      </c>
      <c r="D242" s="5">
        <v>315</v>
      </c>
      <c r="E242" s="12">
        <v>79.900000000000006</v>
      </c>
      <c r="F242" s="12">
        <v>25168.5</v>
      </c>
    </row>
    <row r="243" spans="1:6" x14ac:dyDescent="0.25">
      <c r="A243" s="5">
        <v>242</v>
      </c>
      <c r="B243" s="5" t="s">
        <v>125</v>
      </c>
      <c r="C243" s="5" t="s">
        <v>7</v>
      </c>
      <c r="D243" s="5">
        <v>4725</v>
      </c>
      <c r="E243" s="12">
        <v>2.6</v>
      </c>
      <c r="F243" s="12">
        <v>12285</v>
      </c>
    </row>
    <row r="244" spans="1:6" x14ac:dyDescent="0.25">
      <c r="A244" s="5">
        <v>243</v>
      </c>
      <c r="B244" s="5" t="s">
        <v>126</v>
      </c>
      <c r="C244" s="5" t="s">
        <v>8</v>
      </c>
      <c r="D244" s="5">
        <v>4402</v>
      </c>
      <c r="E244" s="12">
        <v>2.4</v>
      </c>
      <c r="F244" s="12">
        <v>10564.8</v>
      </c>
    </row>
    <row r="245" spans="1:6" x14ac:dyDescent="0.25">
      <c r="A245" s="5">
        <v>244</v>
      </c>
      <c r="B245" s="5" t="s">
        <v>126</v>
      </c>
      <c r="C245" s="5" t="s">
        <v>10</v>
      </c>
      <c r="D245" s="5">
        <v>13</v>
      </c>
      <c r="E245" s="12">
        <v>9.5</v>
      </c>
      <c r="F245" s="12">
        <v>123.5</v>
      </c>
    </row>
    <row r="246" spans="1:6" x14ac:dyDescent="0.25">
      <c r="A246" s="5">
        <v>245</v>
      </c>
      <c r="B246" s="5" t="s">
        <v>126</v>
      </c>
      <c r="C246" s="5" t="s">
        <v>13</v>
      </c>
      <c r="D246" s="5">
        <v>3818</v>
      </c>
      <c r="E246" s="12">
        <v>6.2</v>
      </c>
      <c r="F246" s="12">
        <v>23671.599999999999</v>
      </c>
    </row>
    <row r="247" spans="1:6" x14ac:dyDescent="0.25">
      <c r="A247" s="5">
        <v>246</v>
      </c>
      <c r="B247" s="5" t="s">
        <v>127</v>
      </c>
      <c r="C247" s="5" t="s">
        <v>8</v>
      </c>
      <c r="D247" s="5">
        <v>3991</v>
      </c>
      <c r="E247" s="12">
        <v>2.4</v>
      </c>
      <c r="F247" s="12">
        <v>9578.4</v>
      </c>
    </row>
    <row r="248" spans="1:6" x14ac:dyDescent="0.25">
      <c r="A248" s="5">
        <v>247</v>
      </c>
      <c r="B248" s="5" t="s">
        <v>127</v>
      </c>
      <c r="C248" s="5" t="s">
        <v>7</v>
      </c>
      <c r="D248" s="5">
        <v>4415</v>
      </c>
      <c r="E248" s="12">
        <v>2.6</v>
      </c>
      <c r="F248" s="12">
        <v>11479</v>
      </c>
    </row>
    <row r="249" spans="1:6" x14ac:dyDescent="0.25">
      <c r="A249" s="5">
        <v>248</v>
      </c>
      <c r="B249" s="5" t="s">
        <v>127</v>
      </c>
      <c r="C249" s="5" t="s">
        <v>13</v>
      </c>
      <c r="D249" s="5">
        <v>1905</v>
      </c>
      <c r="E249" s="12">
        <v>6.2</v>
      </c>
      <c r="F249" s="12">
        <v>11811</v>
      </c>
    </row>
    <row r="250" spans="1:6" x14ac:dyDescent="0.25">
      <c r="A250" s="5">
        <v>249</v>
      </c>
      <c r="B250" s="5" t="s">
        <v>127</v>
      </c>
      <c r="C250" s="5" t="s">
        <v>10</v>
      </c>
      <c r="D250" s="5">
        <v>2357</v>
      </c>
      <c r="E250" s="12">
        <v>9.5</v>
      </c>
      <c r="F250" s="12">
        <v>22391.5</v>
      </c>
    </row>
    <row r="251" spans="1:6" x14ac:dyDescent="0.25">
      <c r="A251" s="5">
        <v>250</v>
      </c>
      <c r="B251" s="5" t="s">
        <v>128</v>
      </c>
      <c r="C251" s="5" t="s">
        <v>7</v>
      </c>
      <c r="D251" s="5">
        <v>9420</v>
      </c>
      <c r="E251" s="12">
        <v>2.6</v>
      </c>
      <c r="F251" s="12">
        <v>24492</v>
      </c>
    </row>
    <row r="252" spans="1:6" x14ac:dyDescent="0.25">
      <c r="A252" s="5">
        <v>251</v>
      </c>
      <c r="B252" s="5" t="s">
        <v>128</v>
      </c>
      <c r="C252" s="5" t="s">
        <v>9</v>
      </c>
      <c r="D252" s="5">
        <v>61</v>
      </c>
      <c r="E252" s="12">
        <v>79.900000000000006</v>
      </c>
      <c r="F252" s="12">
        <v>4873.8999999999996</v>
      </c>
    </row>
    <row r="253" spans="1:6" x14ac:dyDescent="0.25">
      <c r="A253" s="5">
        <v>252</v>
      </c>
      <c r="B253" s="5" t="s">
        <v>128</v>
      </c>
      <c r="C253" s="5" t="s">
        <v>8</v>
      </c>
      <c r="D253" s="5">
        <v>425</v>
      </c>
      <c r="E253" s="12">
        <v>2.4</v>
      </c>
      <c r="F253" s="12">
        <v>1020</v>
      </c>
    </row>
    <row r="254" spans="1:6" x14ac:dyDescent="0.25">
      <c r="A254" s="5">
        <v>253</v>
      </c>
      <c r="B254" s="5" t="s">
        <v>129</v>
      </c>
      <c r="C254" s="5" t="s">
        <v>7</v>
      </c>
      <c r="D254" s="5">
        <v>4172</v>
      </c>
      <c r="E254" s="12">
        <v>2.6</v>
      </c>
      <c r="F254" s="12">
        <v>10847.2</v>
      </c>
    </row>
    <row r="255" spans="1:6" x14ac:dyDescent="0.25">
      <c r="A255" s="5">
        <v>254</v>
      </c>
      <c r="B255" s="5" t="s">
        <v>129</v>
      </c>
      <c r="C255" s="5" t="s">
        <v>9</v>
      </c>
      <c r="D255" s="5">
        <v>165</v>
      </c>
      <c r="E255" s="12">
        <v>79.900000000000006</v>
      </c>
      <c r="F255" s="12">
        <v>13183.5</v>
      </c>
    </row>
    <row r="256" spans="1:6" x14ac:dyDescent="0.25">
      <c r="A256" s="5">
        <v>255</v>
      </c>
      <c r="B256" s="5" t="s">
        <v>129</v>
      </c>
      <c r="C256" s="5" t="s">
        <v>13</v>
      </c>
      <c r="D256" s="5">
        <v>3459</v>
      </c>
      <c r="E256" s="12">
        <v>6.2</v>
      </c>
      <c r="F256" s="12">
        <v>21445.8</v>
      </c>
    </row>
    <row r="257" spans="1:6" x14ac:dyDescent="0.25">
      <c r="A257" s="5">
        <v>256</v>
      </c>
      <c r="B257" s="5" t="s">
        <v>129</v>
      </c>
      <c r="C257" s="5" t="s">
        <v>8</v>
      </c>
      <c r="D257" s="5">
        <v>1414</v>
      </c>
      <c r="E257" s="12">
        <v>2.4</v>
      </c>
      <c r="F257" s="12">
        <v>3393.6</v>
      </c>
    </row>
    <row r="258" spans="1:6" x14ac:dyDescent="0.25">
      <c r="A258" s="5">
        <v>257</v>
      </c>
      <c r="B258" s="5" t="s">
        <v>129</v>
      </c>
      <c r="C258" s="5" t="s">
        <v>10</v>
      </c>
      <c r="D258" s="5">
        <v>131</v>
      </c>
      <c r="E258" s="12">
        <v>9.5</v>
      </c>
      <c r="F258" s="12">
        <v>1244.5</v>
      </c>
    </row>
    <row r="259" spans="1:6" x14ac:dyDescent="0.25">
      <c r="A259" s="5">
        <v>258</v>
      </c>
      <c r="B259" s="5" t="s">
        <v>130</v>
      </c>
      <c r="C259" s="5" t="s">
        <v>10</v>
      </c>
      <c r="D259" s="5">
        <v>2817</v>
      </c>
      <c r="E259" s="12">
        <v>9.5</v>
      </c>
      <c r="F259" s="12">
        <v>26761.5</v>
      </c>
    </row>
    <row r="260" spans="1:6" x14ac:dyDescent="0.25">
      <c r="A260" s="5">
        <v>259</v>
      </c>
      <c r="B260" s="5" t="s">
        <v>130</v>
      </c>
      <c r="C260" s="5" t="s">
        <v>9</v>
      </c>
      <c r="D260" s="5">
        <v>363</v>
      </c>
      <c r="E260" s="12">
        <v>79.900000000000006</v>
      </c>
      <c r="F260" s="12">
        <v>29003.7</v>
      </c>
    </row>
    <row r="261" spans="1:6" x14ac:dyDescent="0.25">
      <c r="A261" s="5">
        <v>260</v>
      </c>
      <c r="B261" s="5" t="s">
        <v>131</v>
      </c>
      <c r="C261" s="5" t="s">
        <v>9</v>
      </c>
      <c r="D261" s="5">
        <v>239</v>
      </c>
      <c r="E261" s="12">
        <v>79.900000000000006</v>
      </c>
      <c r="F261" s="12">
        <v>19096.099999999999</v>
      </c>
    </row>
    <row r="262" spans="1:6" x14ac:dyDescent="0.25">
      <c r="A262" s="5">
        <v>261</v>
      </c>
      <c r="B262" s="5" t="s">
        <v>131</v>
      </c>
      <c r="C262" s="5" t="s">
        <v>8</v>
      </c>
      <c r="D262" s="5">
        <v>6063</v>
      </c>
      <c r="E262" s="12">
        <v>2.4</v>
      </c>
      <c r="F262" s="12">
        <v>14551.2</v>
      </c>
    </row>
    <row r="263" spans="1:6" x14ac:dyDescent="0.25">
      <c r="A263" s="5">
        <v>262</v>
      </c>
      <c r="B263" s="5" t="s">
        <v>131</v>
      </c>
      <c r="C263" s="5" t="s">
        <v>10</v>
      </c>
      <c r="D263" s="5">
        <v>1181</v>
      </c>
      <c r="E263" s="12">
        <v>9.5</v>
      </c>
      <c r="F263" s="12">
        <v>11219.5</v>
      </c>
    </row>
    <row r="264" spans="1:6" x14ac:dyDescent="0.25">
      <c r="A264" s="5">
        <v>263</v>
      </c>
      <c r="B264" s="5" t="s">
        <v>131</v>
      </c>
      <c r="C264" s="5" t="s">
        <v>7</v>
      </c>
      <c r="D264" s="5">
        <v>787</v>
      </c>
      <c r="E264" s="12">
        <v>2.6</v>
      </c>
      <c r="F264" s="12">
        <v>2046.2</v>
      </c>
    </row>
    <row r="265" spans="1:6" x14ac:dyDescent="0.25">
      <c r="A265" s="5">
        <v>264</v>
      </c>
      <c r="B265" s="5" t="s">
        <v>131</v>
      </c>
      <c r="C265" s="5" t="s">
        <v>13</v>
      </c>
      <c r="D265" s="5">
        <v>667</v>
      </c>
      <c r="E265" s="12">
        <v>6.2</v>
      </c>
      <c r="F265" s="12">
        <v>4135.3999999999996</v>
      </c>
    </row>
    <row r="266" spans="1:6" x14ac:dyDescent="0.25">
      <c r="A266" s="5">
        <v>265</v>
      </c>
      <c r="B266" s="5" t="s">
        <v>132</v>
      </c>
      <c r="C266" s="5" t="s">
        <v>10</v>
      </c>
      <c r="D266" s="5">
        <v>1203</v>
      </c>
      <c r="E266" s="12">
        <v>9.5</v>
      </c>
      <c r="F266" s="12">
        <v>11428.5</v>
      </c>
    </row>
    <row r="267" spans="1:6" x14ac:dyDescent="0.25">
      <c r="A267" s="5">
        <v>266</v>
      </c>
      <c r="B267" s="5" t="s">
        <v>133</v>
      </c>
      <c r="C267" s="5" t="s">
        <v>10</v>
      </c>
      <c r="D267" s="5">
        <v>740</v>
      </c>
      <c r="E267" s="12">
        <v>9.5</v>
      </c>
      <c r="F267" s="12">
        <v>7030</v>
      </c>
    </row>
    <row r="268" spans="1:6" x14ac:dyDescent="0.25">
      <c r="A268" s="5">
        <v>267</v>
      </c>
      <c r="B268" s="5" t="s">
        <v>133</v>
      </c>
      <c r="C268" s="5" t="s">
        <v>9</v>
      </c>
      <c r="D268" s="5">
        <v>448</v>
      </c>
      <c r="E268" s="12">
        <v>79.900000000000006</v>
      </c>
      <c r="F268" s="12">
        <v>35795.199999999997</v>
      </c>
    </row>
    <row r="269" spans="1:6" x14ac:dyDescent="0.25">
      <c r="A269" s="5">
        <v>268</v>
      </c>
      <c r="B269" s="5" t="s">
        <v>133</v>
      </c>
      <c r="C269" s="5" t="s">
        <v>13</v>
      </c>
      <c r="D269" s="5">
        <v>574</v>
      </c>
      <c r="E269" s="12">
        <v>6.2</v>
      </c>
      <c r="F269" s="12">
        <v>3558.8</v>
      </c>
    </row>
    <row r="270" spans="1:6" x14ac:dyDescent="0.25">
      <c r="A270" s="5">
        <v>269</v>
      </c>
      <c r="B270" s="5" t="s">
        <v>134</v>
      </c>
      <c r="C270" s="5" t="s">
        <v>7</v>
      </c>
      <c r="D270" s="5">
        <v>1294</v>
      </c>
      <c r="E270" s="12">
        <v>2.6</v>
      </c>
      <c r="F270" s="12">
        <v>3364.4</v>
      </c>
    </row>
    <row r="271" spans="1:6" x14ac:dyDescent="0.25">
      <c r="A271" s="5">
        <v>270</v>
      </c>
      <c r="B271" s="5" t="s">
        <v>135</v>
      </c>
      <c r="C271" s="5" t="s">
        <v>7</v>
      </c>
      <c r="D271" s="5">
        <v>7381</v>
      </c>
      <c r="E271" s="12">
        <v>2.6</v>
      </c>
      <c r="F271" s="12">
        <v>19190.599999999999</v>
      </c>
    </row>
    <row r="272" spans="1:6" x14ac:dyDescent="0.25">
      <c r="A272" s="5">
        <v>271</v>
      </c>
      <c r="B272" s="5" t="s">
        <v>135</v>
      </c>
      <c r="C272" s="5" t="s">
        <v>9</v>
      </c>
      <c r="D272" s="5">
        <v>102</v>
      </c>
      <c r="E272" s="12">
        <v>79.900000000000006</v>
      </c>
      <c r="F272" s="12">
        <v>8149.8</v>
      </c>
    </row>
    <row r="273" spans="1:6" x14ac:dyDescent="0.25">
      <c r="A273" s="5">
        <v>272</v>
      </c>
      <c r="B273" s="5" t="s">
        <v>136</v>
      </c>
      <c r="C273" s="5" t="s">
        <v>7</v>
      </c>
      <c r="D273" s="5">
        <v>7618</v>
      </c>
      <c r="E273" s="12">
        <v>2.6</v>
      </c>
      <c r="F273" s="12">
        <v>19806.8</v>
      </c>
    </row>
    <row r="274" spans="1:6" x14ac:dyDescent="0.25">
      <c r="A274" s="5">
        <v>273</v>
      </c>
      <c r="B274" s="5" t="s">
        <v>136</v>
      </c>
      <c r="C274" s="5" t="s">
        <v>8</v>
      </c>
      <c r="D274" s="5">
        <v>9267</v>
      </c>
      <c r="E274" s="12">
        <v>2.4</v>
      </c>
      <c r="F274" s="12">
        <v>22240.799999999999</v>
      </c>
    </row>
    <row r="275" spans="1:6" x14ac:dyDescent="0.25">
      <c r="A275" s="5">
        <v>274</v>
      </c>
      <c r="B275" s="5" t="s">
        <v>137</v>
      </c>
      <c r="C275" s="5" t="s">
        <v>13</v>
      </c>
      <c r="D275" s="5">
        <v>3366</v>
      </c>
      <c r="E275" s="12">
        <v>6.2</v>
      </c>
      <c r="F275" s="12">
        <v>20869.2</v>
      </c>
    </row>
    <row r="276" spans="1:6" x14ac:dyDescent="0.25">
      <c r="A276" s="5">
        <v>275</v>
      </c>
      <c r="B276" s="5" t="s">
        <v>138</v>
      </c>
      <c r="C276" s="5" t="s">
        <v>8</v>
      </c>
      <c r="D276" s="5">
        <v>6935</v>
      </c>
      <c r="E276" s="12">
        <v>2.4</v>
      </c>
      <c r="F276" s="12">
        <v>16644</v>
      </c>
    </row>
    <row r="277" spans="1:6" x14ac:dyDescent="0.25">
      <c r="A277" s="5">
        <v>276</v>
      </c>
      <c r="B277" s="5" t="s">
        <v>138</v>
      </c>
      <c r="C277" s="5" t="s">
        <v>10</v>
      </c>
      <c r="D277" s="5">
        <v>2700</v>
      </c>
      <c r="E277" s="12">
        <v>9.5</v>
      </c>
      <c r="F277" s="12">
        <v>25650</v>
      </c>
    </row>
    <row r="278" spans="1:6" x14ac:dyDescent="0.25">
      <c r="A278" s="5">
        <v>277</v>
      </c>
      <c r="B278" s="5" t="s">
        <v>138</v>
      </c>
      <c r="C278" s="5" t="s">
        <v>7</v>
      </c>
      <c r="D278" s="5">
        <v>1607</v>
      </c>
      <c r="E278" s="12">
        <v>2.6</v>
      </c>
      <c r="F278" s="12">
        <v>4178.2</v>
      </c>
    </row>
    <row r="279" spans="1:6" x14ac:dyDescent="0.25">
      <c r="A279" s="5">
        <v>278</v>
      </c>
      <c r="B279" s="5" t="s">
        <v>138</v>
      </c>
      <c r="C279" s="5" t="s">
        <v>13</v>
      </c>
      <c r="D279" s="5">
        <v>1088</v>
      </c>
      <c r="E279" s="12">
        <v>6.2</v>
      </c>
      <c r="F279" s="12">
        <v>6745.6</v>
      </c>
    </row>
    <row r="280" spans="1:6" x14ac:dyDescent="0.25">
      <c r="A280" s="5">
        <v>279</v>
      </c>
      <c r="B280" s="5" t="s">
        <v>139</v>
      </c>
      <c r="C280" s="5" t="s">
        <v>9</v>
      </c>
      <c r="D280" s="5">
        <v>391</v>
      </c>
      <c r="E280" s="12">
        <v>79.900000000000006</v>
      </c>
      <c r="F280" s="12">
        <v>31240.9</v>
      </c>
    </row>
    <row r="281" spans="1:6" x14ac:dyDescent="0.25">
      <c r="A281" s="5">
        <v>280</v>
      </c>
      <c r="B281" s="5" t="s">
        <v>140</v>
      </c>
      <c r="C281" s="5" t="s">
        <v>9</v>
      </c>
      <c r="D281" s="5">
        <v>105</v>
      </c>
      <c r="E281" s="12">
        <v>79.900000000000006</v>
      </c>
      <c r="F281" s="12">
        <v>8389.5</v>
      </c>
    </row>
    <row r="282" spans="1:6" x14ac:dyDescent="0.25">
      <c r="A282" s="5">
        <v>281</v>
      </c>
      <c r="B282" s="5" t="s">
        <v>141</v>
      </c>
      <c r="C282" s="5" t="s">
        <v>7</v>
      </c>
      <c r="D282" s="5">
        <v>2776</v>
      </c>
      <c r="E282" s="12">
        <v>2.6</v>
      </c>
      <c r="F282" s="12">
        <v>7217.6</v>
      </c>
    </row>
    <row r="283" spans="1:6" x14ac:dyDescent="0.25">
      <c r="A283" s="5">
        <v>282</v>
      </c>
      <c r="B283" s="5" t="s">
        <v>141</v>
      </c>
      <c r="C283" s="5" t="s">
        <v>13</v>
      </c>
      <c r="D283" s="5">
        <v>1952</v>
      </c>
      <c r="E283" s="12">
        <v>6.2</v>
      </c>
      <c r="F283" s="12">
        <v>12102.4</v>
      </c>
    </row>
    <row r="284" spans="1:6" x14ac:dyDescent="0.25">
      <c r="A284" s="5">
        <v>283</v>
      </c>
      <c r="B284" s="5" t="s">
        <v>141</v>
      </c>
      <c r="C284" s="5" t="s">
        <v>9</v>
      </c>
      <c r="D284" s="5">
        <v>373</v>
      </c>
      <c r="E284" s="12">
        <v>79.900000000000006</v>
      </c>
      <c r="F284" s="12">
        <v>29802.7</v>
      </c>
    </row>
    <row r="285" spans="1:6" x14ac:dyDescent="0.25">
      <c r="A285" s="5">
        <v>284</v>
      </c>
      <c r="B285" s="5" t="s">
        <v>142</v>
      </c>
      <c r="C285" s="5" t="s">
        <v>7</v>
      </c>
      <c r="D285" s="5">
        <v>8030</v>
      </c>
      <c r="E285" s="12">
        <v>2.6</v>
      </c>
      <c r="F285" s="12">
        <v>20878</v>
      </c>
    </row>
    <row r="286" spans="1:6" x14ac:dyDescent="0.25">
      <c r="A286" s="5">
        <v>285</v>
      </c>
      <c r="B286" s="5" t="s">
        <v>142</v>
      </c>
      <c r="C286" s="5" t="s">
        <v>10</v>
      </c>
      <c r="D286" s="5">
        <v>261</v>
      </c>
      <c r="E286" s="12">
        <v>9.5</v>
      </c>
      <c r="F286" s="12">
        <v>2479.5</v>
      </c>
    </row>
    <row r="287" spans="1:6" x14ac:dyDescent="0.25">
      <c r="A287" s="5">
        <v>286</v>
      </c>
      <c r="B287" s="5" t="s">
        <v>142</v>
      </c>
      <c r="C287" s="5" t="s">
        <v>13</v>
      </c>
      <c r="D287" s="5">
        <v>5338</v>
      </c>
      <c r="E287" s="12">
        <v>6.2</v>
      </c>
      <c r="F287" s="12">
        <v>33095.599999999999</v>
      </c>
    </row>
    <row r="288" spans="1:6" x14ac:dyDescent="0.25">
      <c r="A288" s="5">
        <v>287</v>
      </c>
      <c r="B288" s="5" t="s">
        <v>143</v>
      </c>
      <c r="C288" s="5" t="s">
        <v>7</v>
      </c>
      <c r="D288" s="5">
        <v>628</v>
      </c>
      <c r="E288" s="12">
        <v>2.6</v>
      </c>
      <c r="F288" s="12">
        <v>1632.8</v>
      </c>
    </row>
    <row r="289" spans="1:6" x14ac:dyDescent="0.25">
      <c r="A289" s="5">
        <v>288</v>
      </c>
      <c r="B289" s="5" t="s">
        <v>143</v>
      </c>
      <c r="C289" s="5" t="s">
        <v>10</v>
      </c>
      <c r="D289" s="5">
        <v>187</v>
      </c>
      <c r="E289" s="12">
        <v>9.5</v>
      </c>
      <c r="F289" s="12">
        <v>1776.5</v>
      </c>
    </row>
    <row r="290" spans="1:6" x14ac:dyDescent="0.25">
      <c r="A290" s="5">
        <v>289</v>
      </c>
      <c r="B290" s="5" t="s">
        <v>143</v>
      </c>
      <c r="C290" s="5" t="s">
        <v>9</v>
      </c>
      <c r="D290" s="5">
        <v>2</v>
      </c>
      <c r="E290" s="12">
        <v>79.900000000000006</v>
      </c>
      <c r="F290" s="12">
        <v>159.80000000000001</v>
      </c>
    </row>
    <row r="291" spans="1:6" x14ac:dyDescent="0.25">
      <c r="A291" s="5">
        <v>290</v>
      </c>
      <c r="B291" s="5" t="s">
        <v>143</v>
      </c>
      <c r="C291" s="5" t="s">
        <v>8</v>
      </c>
      <c r="D291" s="5">
        <v>297</v>
      </c>
      <c r="E291" s="12">
        <v>2.4</v>
      </c>
      <c r="F291" s="12">
        <v>712.8</v>
      </c>
    </row>
    <row r="292" spans="1:6" x14ac:dyDescent="0.25">
      <c r="A292" s="5">
        <v>291</v>
      </c>
      <c r="B292" s="5" t="s">
        <v>143</v>
      </c>
      <c r="C292" s="5" t="s">
        <v>13</v>
      </c>
      <c r="D292" s="5">
        <v>4215</v>
      </c>
      <c r="E292" s="12">
        <v>6.2</v>
      </c>
      <c r="F292" s="12">
        <v>26133</v>
      </c>
    </row>
    <row r="293" spans="1:6" x14ac:dyDescent="0.25">
      <c r="A293" s="5">
        <v>292</v>
      </c>
      <c r="B293" s="5" t="s">
        <v>144</v>
      </c>
      <c r="C293" s="5" t="s">
        <v>13</v>
      </c>
      <c r="D293" s="5">
        <v>4968</v>
      </c>
      <c r="E293" s="12">
        <v>6.2</v>
      </c>
      <c r="F293" s="12">
        <v>30801.599999999999</v>
      </c>
    </row>
    <row r="294" spans="1:6" x14ac:dyDescent="0.25">
      <c r="A294" s="5">
        <v>293</v>
      </c>
      <c r="B294" s="5" t="s">
        <v>145</v>
      </c>
      <c r="C294" s="5" t="s">
        <v>7</v>
      </c>
      <c r="D294" s="5">
        <v>4076</v>
      </c>
      <c r="E294" s="12">
        <v>2.6</v>
      </c>
      <c r="F294" s="12">
        <v>10597.6</v>
      </c>
    </row>
    <row r="295" spans="1:6" x14ac:dyDescent="0.25">
      <c r="A295" s="5">
        <v>294</v>
      </c>
      <c r="B295" s="5" t="s">
        <v>145</v>
      </c>
      <c r="C295" s="5" t="s">
        <v>8</v>
      </c>
      <c r="D295" s="5">
        <v>3825</v>
      </c>
      <c r="E295" s="12">
        <v>2.4</v>
      </c>
      <c r="F295" s="12">
        <v>9180</v>
      </c>
    </row>
    <row r="296" spans="1:6" x14ac:dyDescent="0.25">
      <c r="A296" s="5">
        <v>295</v>
      </c>
      <c r="B296" s="5" t="s">
        <v>145</v>
      </c>
      <c r="C296" s="5" t="s">
        <v>13</v>
      </c>
      <c r="D296" s="5">
        <v>764</v>
      </c>
      <c r="E296" s="12">
        <v>6.2</v>
      </c>
      <c r="F296" s="12">
        <v>4736.8</v>
      </c>
    </row>
    <row r="297" spans="1:6" x14ac:dyDescent="0.25">
      <c r="A297" s="5">
        <v>296</v>
      </c>
      <c r="B297" s="5" t="s">
        <v>145</v>
      </c>
      <c r="C297" s="5" t="s">
        <v>9</v>
      </c>
      <c r="D297" s="5">
        <v>51</v>
      </c>
      <c r="E297" s="12">
        <v>79.900000000000006</v>
      </c>
      <c r="F297" s="12">
        <v>4074.9</v>
      </c>
    </row>
    <row r="298" spans="1:6" x14ac:dyDescent="0.25">
      <c r="A298" s="5">
        <v>297</v>
      </c>
      <c r="B298" s="5" t="s">
        <v>145</v>
      </c>
      <c r="C298" s="5" t="s">
        <v>10</v>
      </c>
      <c r="D298" s="5">
        <v>2952</v>
      </c>
      <c r="E298" s="12">
        <v>9.5</v>
      </c>
      <c r="F298" s="12">
        <v>28044</v>
      </c>
    </row>
    <row r="299" spans="1:6" x14ac:dyDescent="0.25">
      <c r="A299" s="5">
        <v>298</v>
      </c>
      <c r="B299" s="5" t="s">
        <v>146</v>
      </c>
      <c r="C299" s="5" t="s">
        <v>13</v>
      </c>
      <c r="D299" s="5">
        <v>297</v>
      </c>
      <c r="E299" s="12">
        <v>6.2</v>
      </c>
      <c r="F299" s="12">
        <v>1841.4</v>
      </c>
    </row>
    <row r="300" spans="1:6" x14ac:dyDescent="0.25">
      <c r="A300" s="5">
        <v>299</v>
      </c>
      <c r="B300" s="5" t="s">
        <v>146</v>
      </c>
      <c r="C300" s="5" t="s">
        <v>7</v>
      </c>
      <c r="D300" s="5">
        <v>4718</v>
      </c>
      <c r="E300" s="12">
        <v>2.6</v>
      </c>
      <c r="F300" s="12">
        <v>12266.8</v>
      </c>
    </row>
    <row r="301" spans="1:6" x14ac:dyDescent="0.25">
      <c r="A301" s="5">
        <v>300</v>
      </c>
      <c r="B301" s="5" t="s">
        <v>146</v>
      </c>
      <c r="C301" s="5" t="s">
        <v>9</v>
      </c>
      <c r="D301" s="5">
        <v>86</v>
      </c>
      <c r="E301" s="12">
        <v>79.900000000000006</v>
      </c>
      <c r="F301" s="12">
        <v>6871.4</v>
      </c>
    </row>
    <row r="302" spans="1:6" x14ac:dyDescent="0.25">
      <c r="A302" s="5">
        <v>301</v>
      </c>
      <c r="B302" s="5" t="s">
        <v>146</v>
      </c>
      <c r="C302" s="5" t="s">
        <v>10</v>
      </c>
      <c r="D302" s="5">
        <v>3152</v>
      </c>
      <c r="E302" s="12">
        <v>9.5</v>
      </c>
      <c r="F302" s="12">
        <v>29944</v>
      </c>
    </row>
    <row r="303" spans="1:6" x14ac:dyDescent="0.25">
      <c r="A303" s="5">
        <v>302</v>
      </c>
      <c r="B303" s="5" t="s">
        <v>146</v>
      </c>
      <c r="C303" s="5" t="s">
        <v>8</v>
      </c>
      <c r="D303" s="5">
        <v>1926</v>
      </c>
      <c r="E303" s="12">
        <v>2.4</v>
      </c>
      <c r="F303" s="12">
        <v>4622.3999999999996</v>
      </c>
    </row>
    <row r="304" spans="1:6" x14ac:dyDescent="0.25">
      <c r="A304" s="5">
        <v>303</v>
      </c>
      <c r="B304" s="5" t="s">
        <v>147</v>
      </c>
      <c r="C304" s="5" t="s">
        <v>8</v>
      </c>
      <c r="D304" s="5">
        <v>2793</v>
      </c>
      <c r="E304" s="12">
        <v>2.4</v>
      </c>
      <c r="F304" s="12">
        <v>6703.2</v>
      </c>
    </row>
    <row r="305" spans="1:6" x14ac:dyDescent="0.25">
      <c r="A305" s="5">
        <v>304</v>
      </c>
      <c r="B305" s="5" t="s">
        <v>147</v>
      </c>
      <c r="C305" s="5" t="s">
        <v>9</v>
      </c>
      <c r="D305" s="5">
        <v>180</v>
      </c>
      <c r="E305" s="12">
        <v>79.900000000000006</v>
      </c>
      <c r="F305" s="12">
        <v>14382</v>
      </c>
    </row>
    <row r="306" spans="1:6" x14ac:dyDescent="0.25">
      <c r="A306" s="5">
        <v>305</v>
      </c>
      <c r="B306" s="5" t="s">
        <v>147</v>
      </c>
      <c r="C306" s="5" t="s">
        <v>10</v>
      </c>
      <c r="D306" s="5">
        <v>117</v>
      </c>
      <c r="E306" s="12">
        <v>9.5</v>
      </c>
      <c r="F306" s="12">
        <v>1111.5</v>
      </c>
    </row>
    <row r="307" spans="1:6" x14ac:dyDescent="0.25">
      <c r="A307" s="5">
        <v>306</v>
      </c>
      <c r="B307" s="5" t="s">
        <v>147</v>
      </c>
      <c r="C307" s="5" t="s">
        <v>7</v>
      </c>
      <c r="D307" s="5">
        <v>2660</v>
      </c>
      <c r="E307" s="12">
        <v>2.6</v>
      </c>
      <c r="F307" s="12">
        <v>6916</v>
      </c>
    </row>
    <row r="308" spans="1:6" x14ac:dyDescent="0.25">
      <c r="A308" s="5">
        <v>307</v>
      </c>
      <c r="B308" s="5" t="s">
        <v>147</v>
      </c>
      <c r="C308" s="5" t="s">
        <v>13</v>
      </c>
      <c r="D308" s="5">
        <v>3269</v>
      </c>
      <c r="E308" s="12">
        <v>6.2</v>
      </c>
      <c r="F308" s="12">
        <v>20267.8</v>
      </c>
    </row>
    <row r="309" spans="1:6" x14ac:dyDescent="0.25">
      <c r="A309" s="5">
        <v>308</v>
      </c>
      <c r="B309" s="5" t="s">
        <v>148</v>
      </c>
      <c r="C309" s="5" t="s">
        <v>8</v>
      </c>
      <c r="D309" s="5">
        <v>6558</v>
      </c>
      <c r="E309" s="12">
        <v>2.4</v>
      </c>
      <c r="F309" s="12">
        <v>15739.2</v>
      </c>
    </row>
    <row r="310" spans="1:6" x14ac:dyDescent="0.25">
      <c r="A310" s="5">
        <v>309</v>
      </c>
      <c r="B310" s="5" t="s">
        <v>148</v>
      </c>
      <c r="C310" s="5" t="s">
        <v>10</v>
      </c>
      <c r="D310" s="5">
        <v>2733</v>
      </c>
      <c r="E310" s="12">
        <v>9.5</v>
      </c>
      <c r="F310" s="12">
        <v>25963.5</v>
      </c>
    </row>
    <row r="311" spans="1:6" x14ac:dyDescent="0.25">
      <c r="A311" s="5">
        <v>310</v>
      </c>
      <c r="B311" s="5" t="s">
        <v>148</v>
      </c>
      <c r="C311" s="5" t="s">
        <v>7</v>
      </c>
      <c r="D311" s="5">
        <v>460</v>
      </c>
      <c r="E311" s="12">
        <v>2.6</v>
      </c>
      <c r="F311" s="12">
        <v>1196</v>
      </c>
    </row>
    <row r="312" spans="1:6" x14ac:dyDescent="0.25">
      <c r="A312" s="5">
        <v>311</v>
      </c>
      <c r="B312" s="5" t="s">
        <v>149</v>
      </c>
      <c r="C312" s="5" t="s">
        <v>7</v>
      </c>
      <c r="D312" s="5">
        <v>5592</v>
      </c>
      <c r="E312" s="12">
        <v>2.6</v>
      </c>
      <c r="F312" s="12">
        <v>14539.2</v>
      </c>
    </row>
    <row r="313" spans="1:6" x14ac:dyDescent="0.25">
      <c r="A313" s="5">
        <v>312</v>
      </c>
      <c r="B313" s="5" t="s">
        <v>150</v>
      </c>
      <c r="C313" s="5" t="s">
        <v>7</v>
      </c>
      <c r="D313" s="5">
        <v>621</v>
      </c>
      <c r="E313" s="12">
        <v>2.6</v>
      </c>
      <c r="F313" s="12">
        <v>1614.6</v>
      </c>
    </row>
    <row r="314" spans="1:6" x14ac:dyDescent="0.25">
      <c r="A314" s="5">
        <v>313</v>
      </c>
      <c r="B314" s="5" t="s">
        <v>150</v>
      </c>
      <c r="C314" s="5" t="s">
        <v>10</v>
      </c>
      <c r="D314" s="5">
        <v>720</v>
      </c>
      <c r="E314" s="12">
        <v>9.5</v>
      </c>
      <c r="F314" s="12">
        <v>6840</v>
      </c>
    </row>
    <row r="315" spans="1:6" x14ac:dyDescent="0.25">
      <c r="A315" s="5">
        <v>314</v>
      </c>
      <c r="B315" s="5" t="s">
        <v>151</v>
      </c>
      <c r="C315" s="5" t="s">
        <v>7</v>
      </c>
      <c r="D315" s="5">
        <v>9025</v>
      </c>
      <c r="E315" s="12">
        <v>2.6</v>
      </c>
      <c r="F315" s="12">
        <v>23465</v>
      </c>
    </row>
    <row r="316" spans="1:6" x14ac:dyDescent="0.25">
      <c r="A316" s="5">
        <v>315</v>
      </c>
      <c r="B316" s="5" t="s">
        <v>151</v>
      </c>
      <c r="C316" s="5" t="s">
        <v>10</v>
      </c>
      <c r="D316" s="5">
        <v>2737</v>
      </c>
      <c r="E316" s="12">
        <v>9.5</v>
      </c>
      <c r="F316" s="12">
        <v>26001.5</v>
      </c>
    </row>
    <row r="317" spans="1:6" x14ac:dyDescent="0.25">
      <c r="A317" s="5">
        <v>316</v>
      </c>
      <c r="B317" s="5" t="s">
        <v>152</v>
      </c>
      <c r="C317" s="5" t="s">
        <v>7</v>
      </c>
      <c r="D317" s="5">
        <v>9223</v>
      </c>
      <c r="E317" s="12">
        <v>2.6</v>
      </c>
      <c r="F317" s="12">
        <v>23979.8</v>
      </c>
    </row>
    <row r="318" spans="1:6" x14ac:dyDescent="0.25">
      <c r="A318" s="5">
        <v>317</v>
      </c>
      <c r="B318" s="5" t="s">
        <v>152</v>
      </c>
      <c r="C318" s="5" t="s">
        <v>9</v>
      </c>
      <c r="D318" s="5">
        <v>99</v>
      </c>
      <c r="E318" s="12">
        <v>79.900000000000006</v>
      </c>
      <c r="F318" s="12">
        <v>7910.1</v>
      </c>
    </row>
    <row r="319" spans="1:6" x14ac:dyDescent="0.25">
      <c r="A319" s="5">
        <v>318</v>
      </c>
      <c r="B319" s="5" t="s">
        <v>152</v>
      </c>
      <c r="C319" s="5" t="s">
        <v>8</v>
      </c>
      <c r="D319" s="5">
        <v>7261</v>
      </c>
      <c r="E319" s="12">
        <v>2.4</v>
      </c>
      <c r="F319" s="12">
        <v>17426.400000000001</v>
      </c>
    </row>
    <row r="320" spans="1:6" x14ac:dyDescent="0.25">
      <c r="A320" s="5">
        <v>319</v>
      </c>
      <c r="B320" s="5" t="s">
        <v>152</v>
      </c>
      <c r="C320" s="5" t="s">
        <v>10</v>
      </c>
      <c r="D320" s="5">
        <v>263</v>
      </c>
      <c r="E320" s="12">
        <v>9.5</v>
      </c>
      <c r="F320" s="12">
        <v>2498.5</v>
      </c>
    </row>
    <row r="321" spans="1:6" x14ac:dyDescent="0.25">
      <c r="A321" s="5">
        <v>320</v>
      </c>
      <c r="B321" s="5" t="s">
        <v>153</v>
      </c>
      <c r="C321" s="5" t="s">
        <v>13</v>
      </c>
      <c r="D321" s="5">
        <v>4510</v>
      </c>
      <c r="E321" s="12">
        <v>6.2</v>
      </c>
      <c r="F321" s="12">
        <v>27962</v>
      </c>
    </row>
    <row r="322" spans="1:6" x14ac:dyDescent="0.25">
      <c r="A322" s="5">
        <v>321</v>
      </c>
      <c r="B322" s="5" t="s">
        <v>153</v>
      </c>
      <c r="C322" s="5" t="s">
        <v>7</v>
      </c>
      <c r="D322" s="5">
        <v>2408</v>
      </c>
      <c r="E322" s="12">
        <v>2.6</v>
      </c>
      <c r="F322" s="12">
        <v>6260.8</v>
      </c>
    </row>
    <row r="323" spans="1:6" x14ac:dyDescent="0.25">
      <c r="A323" s="5">
        <v>322</v>
      </c>
      <c r="B323" s="5" t="s">
        <v>153</v>
      </c>
      <c r="C323" s="5" t="s">
        <v>10</v>
      </c>
      <c r="D323" s="5">
        <v>1803</v>
      </c>
      <c r="E323" s="12">
        <v>9.5</v>
      </c>
      <c r="F323" s="12">
        <v>17128.5</v>
      </c>
    </row>
    <row r="324" spans="1:6" x14ac:dyDescent="0.25">
      <c r="A324" s="5">
        <v>323</v>
      </c>
      <c r="B324" s="5" t="s">
        <v>153</v>
      </c>
      <c r="C324" s="5" t="s">
        <v>8</v>
      </c>
      <c r="D324" s="5">
        <v>1136</v>
      </c>
      <c r="E324" s="12">
        <v>2.4</v>
      </c>
      <c r="F324" s="12">
        <v>2726.4</v>
      </c>
    </row>
    <row r="325" spans="1:6" x14ac:dyDescent="0.25">
      <c r="A325" s="5">
        <v>324</v>
      </c>
      <c r="B325" s="5" t="s">
        <v>154</v>
      </c>
      <c r="C325" s="5" t="s">
        <v>9</v>
      </c>
      <c r="D325" s="5">
        <v>332</v>
      </c>
      <c r="E325" s="12">
        <v>79.900000000000006</v>
      </c>
      <c r="F325" s="12">
        <v>26526.799999999999</v>
      </c>
    </row>
    <row r="326" spans="1:6" x14ac:dyDescent="0.25">
      <c r="A326" s="5">
        <v>325</v>
      </c>
      <c r="B326" s="5" t="s">
        <v>154</v>
      </c>
      <c r="C326" s="5" t="s">
        <v>13</v>
      </c>
      <c r="D326" s="5">
        <v>4864</v>
      </c>
      <c r="E326" s="12">
        <v>6.2</v>
      </c>
      <c r="F326" s="12">
        <v>30156.799999999999</v>
      </c>
    </row>
    <row r="327" spans="1:6" x14ac:dyDescent="0.25">
      <c r="A327" s="5">
        <v>326</v>
      </c>
      <c r="B327" s="5" t="s">
        <v>154</v>
      </c>
      <c r="C327" s="5" t="s">
        <v>8</v>
      </c>
      <c r="D327" s="5">
        <v>491</v>
      </c>
      <c r="E327" s="12">
        <v>2.4</v>
      </c>
      <c r="F327" s="12">
        <v>1178.4000000000001</v>
      </c>
    </row>
    <row r="328" spans="1:6" x14ac:dyDescent="0.25">
      <c r="A328" s="5">
        <v>327</v>
      </c>
      <c r="B328" s="5" t="s">
        <v>155</v>
      </c>
      <c r="C328" s="5" t="s">
        <v>7</v>
      </c>
      <c r="D328" s="5">
        <v>3368</v>
      </c>
      <c r="E328" s="12">
        <v>2.6</v>
      </c>
      <c r="F328" s="12">
        <v>8756.7999999999993</v>
      </c>
    </row>
    <row r="329" spans="1:6" x14ac:dyDescent="0.25">
      <c r="A329" s="5">
        <v>328</v>
      </c>
      <c r="B329" s="5" t="s">
        <v>155</v>
      </c>
      <c r="C329" s="5" t="s">
        <v>10</v>
      </c>
      <c r="D329" s="5">
        <v>1228</v>
      </c>
      <c r="E329" s="12">
        <v>9.5</v>
      </c>
      <c r="F329" s="12">
        <v>11666</v>
      </c>
    </row>
    <row r="330" spans="1:6" x14ac:dyDescent="0.25">
      <c r="A330" s="5">
        <v>329</v>
      </c>
      <c r="B330" s="5" t="s">
        <v>155</v>
      </c>
      <c r="C330" s="5" t="s">
        <v>8</v>
      </c>
      <c r="D330" s="5">
        <v>3211</v>
      </c>
      <c r="E330" s="12">
        <v>2.4</v>
      </c>
      <c r="F330" s="12">
        <v>7706.4</v>
      </c>
    </row>
    <row r="331" spans="1:6" x14ac:dyDescent="0.25">
      <c r="A331" s="5">
        <v>330</v>
      </c>
      <c r="B331" s="5" t="s">
        <v>155</v>
      </c>
      <c r="C331" s="5" t="s">
        <v>13</v>
      </c>
      <c r="D331" s="5">
        <v>2234</v>
      </c>
      <c r="E331" s="12">
        <v>6.2</v>
      </c>
      <c r="F331" s="12">
        <v>13850.8</v>
      </c>
    </row>
    <row r="332" spans="1:6" x14ac:dyDescent="0.25">
      <c r="A332" s="5">
        <v>331</v>
      </c>
      <c r="B332" s="5" t="s">
        <v>156</v>
      </c>
      <c r="C332" s="5" t="s">
        <v>7</v>
      </c>
      <c r="D332" s="5">
        <v>604</v>
      </c>
      <c r="E332" s="12">
        <v>2.6</v>
      </c>
      <c r="F332" s="12">
        <v>1570.4</v>
      </c>
    </row>
    <row r="333" spans="1:6" x14ac:dyDescent="0.25">
      <c r="A333" s="5">
        <v>332</v>
      </c>
      <c r="B333" s="5" t="s">
        <v>156</v>
      </c>
      <c r="C333" s="5" t="s">
        <v>9</v>
      </c>
      <c r="D333" s="5">
        <v>21</v>
      </c>
      <c r="E333" s="12">
        <v>79.900000000000006</v>
      </c>
      <c r="F333" s="12">
        <v>1677.9</v>
      </c>
    </row>
    <row r="334" spans="1:6" x14ac:dyDescent="0.25">
      <c r="A334" s="5">
        <v>333</v>
      </c>
      <c r="B334" s="5" t="s">
        <v>156</v>
      </c>
      <c r="C334" s="5" t="s">
        <v>10</v>
      </c>
      <c r="D334" s="5">
        <v>408</v>
      </c>
      <c r="E334" s="12">
        <v>9.5</v>
      </c>
      <c r="F334" s="12">
        <v>3876</v>
      </c>
    </row>
    <row r="335" spans="1:6" x14ac:dyDescent="0.25">
      <c r="A335" s="5">
        <v>334</v>
      </c>
      <c r="B335" s="5" t="s">
        <v>156</v>
      </c>
      <c r="C335" s="5" t="s">
        <v>13</v>
      </c>
      <c r="D335" s="5">
        <v>137</v>
      </c>
      <c r="E335" s="12">
        <v>6.2</v>
      </c>
      <c r="F335" s="12">
        <v>849.4</v>
      </c>
    </row>
    <row r="336" spans="1:6" x14ac:dyDescent="0.25">
      <c r="A336" s="5">
        <v>335</v>
      </c>
      <c r="B336" s="5" t="s">
        <v>156</v>
      </c>
      <c r="C336" s="5" t="s">
        <v>8</v>
      </c>
      <c r="D336" s="5">
        <v>4192</v>
      </c>
      <c r="E336" s="12">
        <v>2.4</v>
      </c>
      <c r="F336" s="12">
        <v>10060.799999999999</v>
      </c>
    </row>
    <row r="337" spans="1:6" x14ac:dyDescent="0.25">
      <c r="A337" s="5">
        <v>336</v>
      </c>
      <c r="B337" s="5" t="s">
        <v>157</v>
      </c>
      <c r="C337" s="5" t="s">
        <v>9</v>
      </c>
      <c r="D337" s="5">
        <v>4</v>
      </c>
      <c r="E337" s="12">
        <v>79.900000000000006</v>
      </c>
      <c r="F337" s="12">
        <v>319.60000000000002</v>
      </c>
    </row>
    <row r="338" spans="1:6" x14ac:dyDescent="0.25">
      <c r="A338" s="5">
        <v>337</v>
      </c>
      <c r="B338" s="5" t="s">
        <v>157</v>
      </c>
      <c r="C338" s="5" t="s">
        <v>10</v>
      </c>
      <c r="D338" s="5">
        <v>680</v>
      </c>
      <c r="E338" s="12">
        <v>9.5</v>
      </c>
      <c r="F338" s="12">
        <v>6460</v>
      </c>
    </row>
    <row r="339" spans="1:6" x14ac:dyDescent="0.25">
      <c r="A339" s="5">
        <v>338</v>
      </c>
      <c r="B339" s="5" t="s">
        <v>158</v>
      </c>
      <c r="C339" s="5" t="s">
        <v>10</v>
      </c>
      <c r="D339" s="5">
        <v>1665</v>
      </c>
      <c r="E339" s="12">
        <v>9.5</v>
      </c>
      <c r="F339" s="12">
        <v>15817.5</v>
      </c>
    </row>
    <row r="340" spans="1:6" x14ac:dyDescent="0.25">
      <c r="A340" s="5">
        <v>339</v>
      </c>
      <c r="B340" s="5" t="s">
        <v>158</v>
      </c>
      <c r="C340" s="5" t="s">
        <v>13</v>
      </c>
      <c r="D340" s="5">
        <v>4556</v>
      </c>
      <c r="E340" s="12">
        <v>6.2</v>
      </c>
      <c r="F340" s="12">
        <v>28247.200000000001</v>
      </c>
    </row>
    <row r="341" spans="1:6" x14ac:dyDescent="0.25">
      <c r="A341" s="5">
        <v>340</v>
      </c>
      <c r="B341" s="5" t="s">
        <v>159</v>
      </c>
      <c r="C341" s="5" t="s">
        <v>7</v>
      </c>
      <c r="D341" s="5">
        <v>4066</v>
      </c>
      <c r="E341" s="12">
        <v>2.6</v>
      </c>
      <c r="F341" s="12">
        <v>10571.6</v>
      </c>
    </row>
    <row r="342" spans="1:6" x14ac:dyDescent="0.25">
      <c r="A342" s="5">
        <v>341</v>
      </c>
      <c r="B342" s="5" t="s">
        <v>159</v>
      </c>
      <c r="C342" s="5" t="s">
        <v>8</v>
      </c>
      <c r="D342" s="5">
        <v>2262</v>
      </c>
      <c r="E342" s="12">
        <v>2.4</v>
      </c>
      <c r="F342" s="12">
        <v>5428.8</v>
      </c>
    </row>
    <row r="343" spans="1:6" x14ac:dyDescent="0.25">
      <c r="A343" s="5">
        <v>342</v>
      </c>
      <c r="B343" s="5" t="s">
        <v>160</v>
      </c>
      <c r="C343" s="5" t="s">
        <v>7</v>
      </c>
      <c r="D343" s="5">
        <v>9559</v>
      </c>
      <c r="E343" s="12">
        <v>2.6</v>
      </c>
      <c r="F343" s="12">
        <v>24853.4</v>
      </c>
    </row>
    <row r="344" spans="1:6" x14ac:dyDescent="0.25">
      <c r="A344" s="5">
        <v>343</v>
      </c>
      <c r="B344" s="5" t="s">
        <v>161</v>
      </c>
      <c r="C344" s="5" t="s">
        <v>8</v>
      </c>
      <c r="D344" s="5">
        <v>8552</v>
      </c>
      <c r="E344" s="12">
        <v>2.4</v>
      </c>
      <c r="F344" s="12">
        <v>20524.8</v>
      </c>
    </row>
    <row r="345" spans="1:6" x14ac:dyDescent="0.25">
      <c r="A345" s="5">
        <v>344</v>
      </c>
      <c r="B345" s="5" t="s">
        <v>161</v>
      </c>
      <c r="C345" s="5" t="s">
        <v>10</v>
      </c>
      <c r="D345" s="5">
        <v>898</v>
      </c>
      <c r="E345" s="12">
        <v>9.5</v>
      </c>
      <c r="F345" s="12">
        <v>8531</v>
      </c>
    </row>
    <row r="346" spans="1:6" x14ac:dyDescent="0.25">
      <c r="A346" s="5">
        <v>345</v>
      </c>
      <c r="B346" s="5" t="s">
        <v>161</v>
      </c>
      <c r="C346" s="5" t="s">
        <v>7</v>
      </c>
      <c r="D346" s="5">
        <v>3194</v>
      </c>
      <c r="E346" s="12">
        <v>2.6</v>
      </c>
      <c r="F346" s="12">
        <v>8304.4</v>
      </c>
    </row>
    <row r="347" spans="1:6" x14ac:dyDescent="0.25">
      <c r="A347" s="5">
        <v>346</v>
      </c>
      <c r="B347" s="5" t="s">
        <v>161</v>
      </c>
      <c r="C347" s="5" t="s">
        <v>13</v>
      </c>
      <c r="D347" s="5">
        <v>2724</v>
      </c>
      <c r="E347" s="12">
        <v>6.2</v>
      </c>
      <c r="F347" s="12">
        <v>16888.8</v>
      </c>
    </row>
    <row r="348" spans="1:6" x14ac:dyDescent="0.25">
      <c r="A348" s="5">
        <v>347</v>
      </c>
      <c r="B348" s="5" t="s">
        <v>162</v>
      </c>
      <c r="C348" s="5" t="s">
        <v>7</v>
      </c>
      <c r="D348" s="5">
        <v>1129</v>
      </c>
      <c r="E348" s="12">
        <v>2.6</v>
      </c>
      <c r="F348" s="12">
        <v>2935.4</v>
      </c>
    </row>
    <row r="349" spans="1:6" x14ac:dyDescent="0.25">
      <c r="A349" s="5">
        <v>348</v>
      </c>
      <c r="B349" s="5" t="s">
        <v>162</v>
      </c>
      <c r="C349" s="5" t="s">
        <v>9</v>
      </c>
      <c r="D349" s="5">
        <v>428</v>
      </c>
      <c r="E349" s="12">
        <v>79.900000000000006</v>
      </c>
      <c r="F349" s="12">
        <v>34197.199999999997</v>
      </c>
    </row>
    <row r="350" spans="1:6" x14ac:dyDescent="0.25">
      <c r="A350" s="5">
        <v>349</v>
      </c>
      <c r="B350" s="5" t="s">
        <v>162</v>
      </c>
      <c r="C350" s="5" t="s">
        <v>8</v>
      </c>
      <c r="D350" s="5">
        <v>691</v>
      </c>
      <c r="E350" s="12">
        <v>2.4</v>
      </c>
      <c r="F350" s="12">
        <v>1658.4</v>
      </c>
    </row>
    <row r="351" spans="1:6" x14ac:dyDescent="0.25">
      <c r="A351" s="5">
        <v>350</v>
      </c>
      <c r="B351" s="5" t="s">
        <v>163</v>
      </c>
      <c r="C351" s="5" t="s">
        <v>8</v>
      </c>
      <c r="D351" s="5">
        <v>5959</v>
      </c>
      <c r="E351" s="12">
        <v>2.4</v>
      </c>
      <c r="F351" s="12">
        <v>14301.6</v>
      </c>
    </row>
    <row r="352" spans="1:6" x14ac:dyDescent="0.25">
      <c r="A352" s="5">
        <v>351</v>
      </c>
      <c r="B352" s="5" t="s">
        <v>163</v>
      </c>
      <c r="C352" s="5" t="s">
        <v>13</v>
      </c>
      <c r="D352" s="5">
        <v>4773</v>
      </c>
      <c r="E352" s="12">
        <v>6.2</v>
      </c>
      <c r="F352" s="12">
        <v>29592.6</v>
      </c>
    </row>
    <row r="353" spans="1:6" x14ac:dyDescent="0.25">
      <c r="A353" s="5">
        <v>352</v>
      </c>
      <c r="B353" s="5" t="s">
        <v>164</v>
      </c>
      <c r="C353" s="5" t="s">
        <v>10</v>
      </c>
      <c r="D353" s="5">
        <v>1214</v>
      </c>
      <c r="E353" s="12">
        <v>9.5</v>
      </c>
      <c r="F353" s="12">
        <v>11533</v>
      </c>
    </row>
    <row r="354" spans="1:6" x14ac:dyDescent="0.25">
      <c r="A354" s="5">
        <v>353</v>
      </c>
      <c r="B354" s="5" t="s">
        <v>165</v>
      </c>
      <c r="C354" s="5" t="s">
        <v>8</v>
      </c>
      <c r="D354" s="5">
        <v>3975</v>
      </c>
      <c r="E354" s="12">
        <v>2.4</v>
      </c>
      <c r="F354" s="12">
        <v>9540</v>
      </c>
    </row>
    <row r="355" spans="1:6" x14ac:dyDescent="0.25">
      <c r="A355" s="5">
        <v>354</v>
      </c>
      <c r="B355" s="5" t="s">
        <v>165</v>
      </c>
      <c r="C355" s="5" t="s">
        <v>13</v>
      </c>
      <c r="D355" s="5">
        <v>2854</v>
      </c>
      <c r="E355" s="12">
        <v>6.2</v>
      </c>
      <c r="F355" s="12">
        <v>17694.8</v>
      </c>
    </row>
    <row r="356" spans="1:6" x14ac:dyDescent="0.25">
      <c r="A356" s="5">
        <v>355</v>
      </c>
      <c r="B356" s="5" t="s">
        <v>166</v>
      </c>
      <c r="C356" s="5" t="s">
        <v>9</v>
      </c>
      <c r="D356" s="5">
        <v>180</v>
      </c>
      <c r="E356" s="12">
        <v>79.900000000000006</v>
      </c>
      <c r="F356" s="12">
        <v>14382</v>
      </c>
    </row>
    <row r="357" spans="1:6" x14ac:dyDescent="0.25">
      <c r="A357" s="5">
        <v>356</v>
      </c>
      <c r="B357" s="5" t="s">
        <v>166</v>
      </c>
      <c r="C357" s="5" t="s">
        <v>10</v>
      </c>
      <c r="D357" s="5">
        <v>2850</v>
      </c>
      <c r="E357" s="12">
        <v>9.5</v>
      </c>
      <c r="F357" s="12">
        <v>27075</v>
      </c>
    </row>
    <row r="358" spans="1:6" x14ac:dyDescent="0.25">
      <c r="A358" s="5">
        <v>357</v>
      </c>
      <c r="B358" s="5" t="s">
        <v>166</v>
      </c>
      <c r="C358" s="5" t="s">
        <v>7</v>
      </c>
      <c r="D358" s="5">
        <v>5032</v>
      </c>
      <c r="E358" s="12">
        <v>2.6</v>
      </c>
      <c r="F358" s="12">
        <v>13083.2</v>
      </c>
    </row>
    <row r="359" spans="1:6" x14ac:dyDescent="0.25">
      <c r="A359" s="5">
        <v>358</v>
      </c>
      <c r="B359" s="5" t="s">
        <v>166</v>
      </c>
      <c r="C359" s="5" t="s">
        <v>13</v>
      </c>
      <c r="D359" s="5">
        <v>323</v>
      </c>
      <c r="E359" s="12">
        <v>6.2</v>
      </c>
      <c r="F359" s="12">
        <v>2002.6</v>
      </c>
    </row>
    <row r="360" spans="1:6" x14ac:dyDescent="0.25">
      <c r="A360" s="5">
        <v>359</v>
      </c>
      <c r="B360" s="5" t="s">
        <v>167</v>
      </c>
      <c r="C360" s="5" t="s">
        <v>13</v>
      </c>
      <c r="D360" s="5">
        <v>2518</v>
      </c>
      <c r="E360" s="12">
        <v>6.2</v>
      </c>
      <c r="F360" s="12">
        <v>15611.6</v>
      </c>
    </row>
    <row r="361" spans="1:6" x14ac:dyDescent="0.25">
      <c r="A361" s="5">
        <v>360</v>
      </c>
      <c r="B361" s="5" t="s">
        <v>167</v>
      </c>
      <c r="C361" s="5" t="s">
        <v>9</v>
      </c>
      <c r="D361" s="5">
        <v>491</v>
      </c>
      <c r="E361" s="12">
        <v>79.900000000000006</v>
      </c>
      <c r="F361" s="12">
        <v>39230.9</v>
      </c>
    </row>
    <row r="362" spans="1:6" x14ac:dyDescent="0.25">
      <c r="A362" s="5">
        <v>361</v>
      </c>
      <c r="B362" s="5" t="s">
        <v>168</v>
      </c>
      <c r="C362" s="5" t="s">
        <v>10</v>
      </c>
      <c r="D362" s="5">
        <v>2722</v>
      </c>
      <c r="E362" s="12">
        <v>9.5</v>
      </c>
      <c r="F362" s="12">
        <v>25859</v>
      </c>
    </row>
    <row r="363" spans="1:6" x14ac:dyDescent="0.25">
      <c r="A363" s="5">
        <v>362</v>
      </c>
      <c r="B363" s="5" t="s">
        <v>168</v>
      </c>
      <c r="C363" s="5" t="s">
        <v>7</v>
      </c>
      <c r="D363" s="5">
        <v>3210</v>
      </c>
      <c r="E363" s="12">
        <v>2.6</v>
      </c>
      <c r="F363" s="12">
        <v>8346</v>
      </c>
    </row>
    <row r="364" spans="1:6" x14ac:dyDescent="0.25">
      <c r="A364" s="5">
        <v>363</v>
      </c>
      <c r="B364" s="5" t="s">
        <v>169</v>
      </c>
      <c r="C364" s="5" t="s">
        <v>9</v>
      </c>
      <c r="D364" s="5">
        <v>229</v>
      </c>
      <c r="E364" s="12">
        <v>79.900000000000006</v>
      </c>
      <c r="F364" s="12">
        <v>18297.099999999999</v>
      </c>
    </row>
    <row r="365" spans="1:6" x14ac:dyDescent="0.25">
      <c r="A365" s="5">
        <v>364</v>
      </c>
      <c r="B365" s="5" t="s">
        <v>169</v>
      </c>
      <c r="C365" s="5" t="s">
        <v>13</v>
      </c>
      <c r="D365" s="5">
        <v>5471</v>
      </c>
      <c r="E365" s="12">
        <v>6.2</v>
      </c>
      <c r="F365" s="12">
        <v>33920.199999999997</v>
      </c>
    </row>
    <row r="366" spans="1:6" x14ac:dyDescent="0.25">
      <c r="A366" s="5">
        <v>365</v>
      </c>
      <c r="B366" s="5" t="s">
        <v>169</v>
      </c>
      <c r="C366" s="5" t="s">
        <v>7</v>
      </c>
      <c r="D366" s="5">
        <v>1733</v>
      </c>
      <c r="E366" s="12">
        <v>2.6</v>
      </c>
      <c r="F366" s="12">
        <v>4505.8</v>
      </c>
    </row>
    <row r="367" spans="1:6" x14ac:dyDescent="0.25">
      <c r="A367" s="5">
        <v>366</v>
      </c>
      <c r="B367" s="5" t="s">
        <v>170</v>
      </c>
      <c r="C367" s="5" t="s">
        <v>10</v>
      </c>
      <c r="D367" s="5">
        <v>2086</v>
      </c>
      <c r="E367" s="12">
        <v>9.5</v>
      </c>
      <c r="F367" s="12">
        <v>19817</v>
      </c>
    </row>
    <row r="368" spans="1:6" x14ac:dyDescent="0.25">
      <c r="A368" s="5">
        <v>367</v>
      </c>
      <c r="B368" s="5" t="s">
        <v>171</v>
      </c>
      <c r="C368" s="5" t="s">
        <v>10</v>
      </c>
      <c r="D368" s="5">
        <v>1957</v>
      </c>
      <c r="E368" s="12">
        <v>9.5</v>
      </c>
      <c r="F368" s="12">
        <v>18591.5</v>
      </c>
    </row>
    <row r="369" spans="1:6" x14ac:dyDescent="0.25">
      <c r="A369" s="5">
        <v>368</v>
      </c>
      <c r="B369" s="5" t="s">
        <v>171</v>
      </c>
      <c r="C369" s="5" t="s">
        <v>7</v>
      </c>
      <c r="D369" s="5">
        <v>8094</v>
      </c>
      <c r="E369" s="12">
        <v>2.6</v>
      </c>
      <c r="F369" s="12">
        <v>21044.400000000001</v>
      </c>
    </row>
    <row r="370" spans="1:6" x14ac:dyDescent="0.25">
      <c r="A370" s="5">
        <v>369</v>
      </c>
      <c r="B370" s="5" t="s">
        <v>171</v>
      </c>
      <c r="C370" s="5" t="s">
        <v>8</v>
      </c>
      <c r="D370" s="5">
        <v>5538</v>
      </c>
      <c r="E370" s="12">
        <v>2.4</v>
      </c>
      <c r="F370" s="12">
        <v>13291.2</v>
      </c>
    </row>
    <row r="371" spans="1:6" x14ac:dyDescent="0.25">
      <c r="A371" s="5">
        <v>370</v>
      </c>
      <c r="B371" s="5" t="s">
        <v>172</v>
      </c>
      <c r="C371" s="5" t="s">
        <v>8</v>
      </c>
      <c r="D371" s="5">
        <v>301</v>
      </c>
      <c r="E371" s="12">
        <v>2.4</v>
      </c>
      <c r="F371" s="12">
        <v>722.4</v>
      </c>
    </row>
    <row r="372" spans="1:6" x14ac:dyDescent="0.25">
      <c r="A372" s="5">
        <v>371</v>
      </c>
      <c r="B372" s="5" t="s">
        <v>172</v>
      </c>
      <c r="C372" s="5" t="s">
        <v>10</v>
      </c>
      <c r="D372" s="5">
        <v>82</v>
      </c>
      <c r="E372" s="12">
        <v>9.5</v>
      </c>
      <c r="F372" s="12">
        <v>779</v>
      </c>
    </row>
    <row r="373" spans="1:6" x14ac:dyDescent="0.25">
      <c r="A373" s="5">
        <v>372</v>
      </c>
      <c r="B373" s="5" t="s">
        <v>173</v>
      </c>
      <c r="C373" s="5" t="s">
        <v>13</v>
      </c>
      <c r="D373" s="5">
        <v>5341</v>
      </c>
      <c r="E373" s="12">
        <v>6.2</v>
      </c>
      <c r="F373" s="12">
        <v>33114.199999999997</v>
      </c>
    </row>
    <row r="374" spans="1:6" x14ac:dyDescent="0.25">
      <c r="A374" s="5">
        <v>373</v>
      </c>
      <c r="B374" s="5" t="s">
        <v>174</v>
      </c>
      <c r="C374" s="5" t="s">
        <v>9</v>
      </c>
      <c r="D374" s="5">
        <v>76</v>
      </c>
      <c r="E374" s="12">
        <v>79.900000000000006</v>
      </c>
      <c r="F374" s="12">
        <v>6072.4</v>
      </c>
    </row>
    <row r="375" spans="1:6" x14ac:dyDescent="0.25">
      <c r="A375" s="5">
        <v>374</v>
      </c>
      <c r="B375" s="5" t="s">
        <v>174</v>
      </c>
      <c r="C375" s="5" t="s">
        <v>7</v>
      </c>
      <c r="D375" s="5">
        <v>8839</v>
      </c>
      <c r="E375" s="12">
        <v>2.6</v>
      </c>
      <c r="F375" s="12">
        <v>22981.4</v>
      </c>
    </row>
    <row r="376" spans="1:6" x14ac:dyDescent="0.25">
      <c r="A376" s="5">
        <v>375</v>
      </c>
      <c r="B376" s="5" t="s">
        <v>174</v>
      </c>
      <c r="C376" s="5" t="s">
        <v>13</v>
      </c>
      <c r="D376" s="5">
        <v>673</v>
      </c>
      <c r="E376" s="12">
        <v>6.2</v>
      </c>
      <c r="F376" s="12">
        <v>4172.6000000000004</v>
      </c>
    </row>
    <row r="377" spans="1:6" x14ac:dyDescent="0.25">
      <c r="A377" s="5">
        <v>376</v>
      </c>
      <c r="B377" s="5" t="s">
        <v>175</v>
      </c>
      <c r="C377" s="5" t="s">
        <v>8</v>
      </c>
      <c r="D377" s="5">
        <v>4014</v>
      </c>
      <c r="E377" s="12">
        <v>2.4</v>
      </c>
      <c r="F377" s="12">
        <v>9633.6</v>
      </c>
    </row>
    <row r="378" spans="1:6" x14ac:dyDescent="0.25">
      <c r="A378" s="5">
        <v>377</v>
      </c>
      <c r="B378" s="5" t="s">
        <v>175</v>
      </c>
      <c r="C378" s="5" t="s">
        <v>9</v>
      </c>
      <c r="D378" s="5">
        <v>530</v>
      </c>
      <c r="E378" s="12">
        <v>79.900000000000006</v>
      </c>
      <c r="F378" s="12">
        <v>42347</v>
      </c>
    </row>
    <row r="379" spans="1:6" x14ac:dyDescent="0.25">
      <c r="A379" s="5">
        <v>378</v>
      </c>
      <c r="B379" s="5" t="s">
        <v>176</v>
      </c>
      <c r="C379" s="5" t="s">
        <v>10</v>
      </c>
      <c r="D379" s="5">
        <v>3105</v>
      </c>
      <c r="E379" s="12">
        <v>9.5</v>
      </c>
      <c r="F379" s="12">
        <v>29497.5</v>
      </c>
    </row>
    <row r="380" spans="1:6" x14ac:dyDescent="0.25">
      <c r="A380" s="5">
        <v>379</v>
      </c>
      <c r="B380" s="5" t="s">
        <v>176</v>
      </c>
      <c r="C380" s="5" t="s">
        <v>13</v>
      </c>
      <c r="D380" s="5">
        <v>3664</v>
      </c>
      <c r="E380" s="12">
        <v>6.2</v>
      </c>
      <c r="F380" s="12">
        <v>22716.799999999999</v>
      </c>
    </row>
    <row r="381" spans="1:6" x14ac:dyDescent="0.25">
      <c r="A381" s="5">
        <v>380</v>
      </c>
      <c r="B381" s="5" t="s">
        <v>177</v>
      </c>
      <c r="C381" s="5" t="s">
        <v>8</v>
      </c>
      <c r="D381" s="5">
        <v>9689</v>
      </c>
      <c r="E381" s="12">
        <v>2.4</v>
      </c>
      <c r="F381" s="12">
        <v>23253.599999999999</v>
      </c>
    </row>
    <row r="382" spans="1:6" x14ac:dyDescent="0.25">
      <c r="A382" s="5">
        <v>381</v>
      </c>
      <c r="B382" s="5" t="s">
        <v>178</v>
      </c>
      <c r="C382" s="5" t="s">
        <v>9</v>
      </c>
      <c r="D382" s="5">
        <v>36</v>
      </c>
      <c r="E382" s="12">
        <v>79.900000000000006</v>
      </c>
      <c r="F382" s="12">
        <v>2876.4</v>
      </c>
    </row>
    <row r="383" spans="1:6" x14ac:dyDescent="0.25">
      <c r="A383" s="5">
        <v>382</v>
      </c>
      <c r="B383" s="5" t="s">
        <v>178</v>
      </c>
      <c r="C383" s="5" t="s">
        <v>13</v>
      </c>
      <c r="D383" s="5">
        <v>88</v>
      </c>
      <c r="E383" s="12">
        <v>6.2</v>
      </c>
      <c r="F383" s="12">
        <v>545.6</v>
      </c>
    </row>
    <row r="384" spans="1:6" x14ac:dyDescent="0.25">
      <c r="A384" s="5">
        <v>383</v>
      </c>
      <c r="B384" s="5" t="s">
        <v>178</v>
      </c>
      <c r="C384" s="5" t="s">
        <v>10</v>
      </c>
      <c r="D384" s="5">
        <v>1293</v>
      </c>
      <c r="E384" s="12">
        <v>9.5</v>
      </c>
      <c r="F384" s="12">
        <v>12283.5</v>
      </c>
    </row>
    <row r="385" spans="1:6" x14ac:dyDescent="0.25">
      <c r="A385" s="5">
        <v>384</v>
      </c>
      <c r="B385" s="5" t="s">
        <v>178</v>
      </c>
      <c r="C385" s="5" t="s">
        <v>8</v>
      </c>
      <c r="D385" s="5">
        <v>347</v>
      </c>
      <c r="E385" s="12">
        <v>2.4</v>
      </c>
      <c r="F385" s="12">
        <v>832.8</v>
      </c>
    </row>
    <row r="386" spans="1:6" x14ac:dyDescent="0.25">
      <c r="A386" s="5">
        <v>385</v>
      </c>
      <c r="B386" s="5" t="s">
        <v>178</v>
      </c>
      <c r="C386" s="5" t="s">
        <v>7</v>
      </c>
      <c r="D386" s="5">
        <v>7573</v>
      </c>
      <c r="E386" s="12">
        <v>2.6</v>
      </c>
      <c r="F386" s="12">
        <v>19689.8</v>
      </c>
    </row>
    <row r="387" spans="1:6" x14ac:dyDescent="0.25">
      <c r="A387" s="5">
        <v>386</v>
      </c>
      <c r="B387" s="5" t="s">
        <v>179</v>
      </c>
      <c r="C387" s="5" t="s">
        <v>13</v>
      </c>
      <c r="D387" s="5">
        <v>304</v>
      </c>
      <c r="E387" s="12">
        <v>6.2</v>
      </c>
      <c r="F387" s="12">
        <v>1884.8</v>
      </c>
    </row>
    <row r="388" spans="1:6" x14ac:dyDescent="0.25">
      <c r="A388" s="5">
        <v>387</v>
      </c>
      <c r="B388" s="5" t="s">
        <v>180</v>
      </c>
      <c r="C388" s="5" t="s">
        <v>10</v>
      </c>
      <c r="D388" s="5">
        <v>30</v>
      </c>
      <c r="E388" s="12">
        <v>9.5</v>
      </c>
      <c r="F388" s="12">
        <v>285</v>
      </c>
    </row>
    <row r="389" spans="1:6" x14ac:dyDescent="0.25">
      <c r="A389" s="5">
        <v>388</v>
      </c>
      <c r="B389" s="5" t="s">
        <v>180</v>
      </c>
      <c r="C389" s="5" t="s">
        <v>7</v>
      </c>
      <c r="D389" s="5">
        <v>2954</v>
      </c>
      <c r="E389" s="12">
        <v>2.6</v>
      </c>
      <c r="F389" s="12">
        <v>7680.4</v>
      </c>
    </row>
    <row r="390" spans="1:6" x14ac:dyDescent="0.25">
      <c r="A390" s="5">
        <v>389</v>
      </c>
      <c r="B390" s="5" t="s">
        <v>180</v>
      </c>
      <c r="C390" s="5" t="s">
        <v>9</v>
      </c>
      <c r="D390" s="5">
        <v>87</v>
      </c>
      <c r="E390" s="12">
        <v>79.900000000000006</v>
      </c>
      <c r="F390" s="12">
        <v>6951.3</v>
      </c>
    </row>
    <row r="391" spans="1:6" x14ac:dyDescent="0.25">
      <c r="A391" s="5">
        <v>390</v>
      </c>
      <c r="B391" s="5" t="s">
        <v>181</v>
      </c>
      <c r="C391" s="5" t="s">
        <v>10</v>
      </c>
      <c r="D391" s="5">
        <v>1696</v>
      </c>
      <c r="E391" s="12">
        <v>9.5</v>
      </c>
      <c r="F391" s="12">
        <v>16112</v>
      </c>
    </row>
    <row r="392" spans="1:6" x14ac:dyDescent="0.25">
      <c r="A392" s="5">
        <v>391</v>
      </c>
      <c r="B392" s="5" t="s">
        <v>182</v>
      </c>
      <c r="C392" s="5" t="s">
        <v>9</v>
      </c>
      <c r="D392" s="5">
        <v>74</v>
      </c>
      <c r="E392" s="12">
        <v>79.900000000000006</v>
      </c>
      <c r="F392" s="12">
        <v>5912.6</v>
      </c>
    </row>
    <row r="393" spans="1:6" x14ac:dyDescent="0.25">
      <c r="A393" s="5">
        <v>392</v>
      </c>
      <c r="B393" s="5" t="s">
        <v>182</v>
      </c>
      <c r="C393" s="5" t="s">
        <v>10</v>
      </c>
      <c r="D393" s="5">
        <v>1476</v>
      </c>
      <c r="E393" s="12">
        <v>9.5</v>
      </c>
      <c r="F393" s="12">
        <v>14022</v>
      </c>
    </row>
    <row r="394" spans="1:6" x14ac:dyDescent="0.25">
      <c r="A394" s="5">
        <v>393</v>
      </c>
      <c r="B394" s="5" t="s">
        <v>183</v>
      </c>
      <c r="C394" s="5" t="s">
        <v>9</v>
      </c>
      <c r="D394" s="5">
        <v>39</v>
      </c>
      <c r="E394" s="12">
        <v>79.900000000000006</v>
      </c>
      <c r="F394" s="12">
        <v>3116.1</v>
      </c>
    </row>
    <row r="395" spans="1:6" x14ac:dyDescent="0.25">
      <c r="A395" s="5">
        <v>394</v>
      </c>
      <c r="B395" s="5" t="s">
        <v>184</v>
      </c>
      <c r="C395" s="5" t="s">
        <v>13</v>
      </c>
      <c r="D395" s="5">
        <v>2904</v>
      </c>
      <c r="E395" s="12">
        <v>6.2</v>
      </c>
      <c r="F395" s="12">
        <v>18004.8</v>
      </c>
    </row>
    <row r="396" spans="1:6" x14ac:dyDescent="0.25">
      <c r="A396" s="5">
        <v>395</v>
      </c>
      <c r="B396" s="5" t="s">
        <v>184</v>
      </c>
      <c r="C396" s="5" t="s">
        <v>7</v>
      </c>
      <c r="D396" s="5">
        <v>529</v>
      </c>
      <c r="E396" s="12">
        <v>2.6</v>
      </c>
      <c r="F396" s="12">
        <v>1375.4</v>
      </c>
    </row>
    <row r="397" spans="1:6" x14ac:dyDescent="0.25">
      <c r="A397" s="5">
        <v>396</v>
      </c>
      <c r="B397" s="5" t="s">
        <v>184</v>
      </c>
      <c r="C397" s="5" t="s">
        <v>9</v>
      </c>
      <c r="D397" s="5">
        <v>33</v>
      </c>
      <c r="E397" s="12">
        <v>79.900000000000006</v>
      </c>
      <c r="F397" s="12">
        <v>2636.7</v>
      </c>
    </row>
    <row r="398" spans="1:6" x14ac:dyDescent="0.25">
      <c r="A398" s="5">
        <v>397</v>
      </c>
      <c r="B398" s="5" t="s">
        <v>184</v>
      </c>
      <c r="C398" s="5" t="s">
        <v>8</v>
      </c>
      <c r="D398" s="5">
        <v>4833</v>
      </c>
      <c r="E398" s="12">
        <v>2.4</v>
      </c>
      <c r="F398" s="12">
        <v>11599.2</v>
      </c>
    </row>
    <row r="399" spans="1:6" x14ac:dyDescent="0.25">
      <c r="A399" s="5">
        <v>398</v>
      </c>
      <c r="B399" s="5" t="s">
        <v>185</v>
      </c>
      <c r="C399" s="5" t="s">
        <v>7</v>
      </c>
      <c r="D399" s="5">
        <v>3354</v>
      </c>
      <c r="E399" s="12">
        <v>2.6</v>
      </c>
      <c r="F399" s="12">
        <v>8720.4</v>
      </c>
    </row>
    <row r="400" spans="1:6" x14ac:dyDescent="0.25">
      <c r="A400" s="5">
        <v>399</v>
      </c>
      <c r="B400" s="5" t="s">
        <v>186</v>
      </c>
      <c r="C400" s="5" t="s">
        <v>8</v>
      </c>
      <c r="D400" s="5">
        <v>2019</v>
      </c>
      <c r="E400" s="12">
        <v>2.4</v>
      </c>
      <c r="F400" s="12">
        <v>4845.6000000000004</v>
      </c>
    </row>
    <row r="401" spans="1:6" x14ac:dyDescent="0.25">
      <c r="A401" s="5">
        <v>400</v>
      </c>
      <c r="B401" s="5" t="s">
        <v>186</v>
      </c>
      <c r="C401" s="5" t="s">
        <v>9</v>
      </c>
      <c r="D401" s="5">
        <v>84</v>
      </c>
      <c r="E401" s="12">
        <v>79.900000000000006</v>
      </c>
      <c r="F401" s="12">
        <v>6711.6</v>
      </c>
    </row>
    <row r="402" spans="1:6" x14ac:dyDescent="0.25">
      <c r="A402" s="5">
        <v>401</v>
      </c>
      <c r="B402" s="5" t="s">
        <v>187</v>
      </c>
      <c r="C402" s="5" t="s">
        <v>9</v>
      </c>
      <c r="D402" s="5">
        <v>141</v>
      </c>
      <c r="E402" s="12">
        <v>79.900000000000006</v>
      </c>
      <c r="F402" s="12">
        <v>11265.9</v>
      </c>
    </row>
    <row r="403" spans="1:6" x14ac:dyDescent="0.25">
      <c r="A403" s="5">
        <v>402</v>
      </c>
      <c r="B403" s="5" t="s">
        <v>187</v>
      </c>
      <c r="C403" s="5" t="s">
        <v>10</v>
      </c>
      <c r="D403" s="5">
        <v>559</v>
      </c>
      <c r="E403" s="12">
        <v>9.5</v>
      </c>
      <c r="F403" s="12">
        <v>5310.5</v>
      </c>
    </row>
    <row r="404" spans="1:6" x14ac:dyDescent="0.25">
      <c r="A404" s="5">
        <v>403</v>
      </c>
      <c r="B404" s="5" t="s">
        <v>187</v>
      </c>
      <c r="C404" s="5" t="s">
        <v>13</v>
      </c>
      <c r="D404" s="5">
        <v>210</v>
      </c>
      <c r="E404" s="12">
        <v>6.2</v>
      </c>
      <c r="F404" s="12">
        <v>1302</v>
      </c>
    </row>
    <row r="405" spans="1:6" x14ac:dyDescent="0.25">
      <c r="A405" s="5">
        <v>404</v>
      </c>
      <c r="B405" s="5" t="s">
        <v>188</v>
      </c>
      <c r="C405" s="5" t="s">
        <v>7</v>
      </c>
      <c r="D405" s="5">
        <v>6957</v>
      </c>
      <c r="E405" s="12">
        <v>2.6</v>
      </c>
      <c r="F405" s="12">
        <v>18088.2</v>
      </c>
    </row>
    <row r="406" spans="1:6" x14ac:dyDescent="0.25">
      <c r="A406" s="5">
        <v>405</v>
      </c>
      <c r="B406" s="5" t="s">
        <v>188</v>
      </c>
      <c r="C406" s="5" t="s">
        <v>8</v>
      </c>
      <c r="D406" s="5">
        <v>6792</v>
      </c>
      <c r="E406" s="12">
        <v>2.4</v>
      </c>
      <c r="F406" s="12">
        <v>16300.8</v>
      </c>
    </row>
    <row r="407" spans="1:6" x14ac:dyDescent="0.25">
      <c r="A407">
        <v>406</v>
      </c>
      <c r="B407" t="s">
        <v>189</v>
      </c>
      <c r="C407" t="s">
        <v>10</v>
      </c>
      <c r="D407">
        <v>1744</v>
      </c>
      <c r="E407" s="13">
        <v>9.5</v>
      </c>
      <c r="F407" s="13">
        <v>16568</v>
      </c>
    </row>
    <row r="408" spans="1:6" x14ac:dyDescent="0.25">
      <c r="A408">
        <v>407</v>
      </c>
      <c r="B408" t="s">
        <v>190</v>
      </c>
      <c r="C408" t="s">
        <v>10</v>
      </c>
      <c r="D408">
        <v>200</v>
      </c>
      <c r="E408" s="13">
        <v>9.5</v>
      </c>
      <c r="F408" s="13">
        <v>1900</v>
      </c>
    </row>
    <row r="409" spans="1:6" x14ac:dyDescent="0.25">
      <c r="A409">
        <v>408</v>
      </c>
      <c r="B409" t="s">
        <v>190</v>
      </c>
      <c r="C409" t="s">
        <v>8</v>
      </c>
      <c r="D409">
        <v>4869</v>
      </c>
      <c r="E409" s="13">
        <v>2.4</v>
      </c>
      <c r="F409" s="13">
        <v>11685.6</v>
      </c>
    </row>
    <row r="410" spans="1:6" x14ac:dyDescent="0.25">
      <c r="A410">
        <v>409</v>
      </c>
      <c r="B410" t="s">
        <v>190</v>
      </c>
      <c r="C410" t="s">
        <v>9</v>
      </c>
      <c r="D410">
        <v>520</v>
      </c>
      <c r="E410" s="13">
        <v>79.900000000000006</v>
      </c>
      <c r="F410" s="13">
        <v>41548</v>
      </c>
    </row>
    <row r="411" spans="1:6" x14ac:dyDescent="0.25">
      <c r="A411">
        <v>410</v>
      </c>
      <c r="B411" t="s">
        <v>191</v>
      </c>
      <c r="C411" t="s">
        <v>13</v>
      </c>
      <c r="D411">
        <v>3041</v>
      </c>
      <c r="E411" s="13">
        <v>6.2</v>
      </c>
      <c r="F411" s="13">
        <v>18854.2</v>
      </c>
    </row>
    <row r="412" spans="1:6" x14ac:dyDescent="0.25">
      <c r="A412">
        <v>411</v>
      </c>
      <c r="B412" t="s">
        <v>191</v>
      </c>
      <c r="C412" t="s">
        <v>7</v>
      </c>
      <c r="D412">
        <v>9344</v>
      </c>
      <c r="E412" s="13">
        <v>2.6</v>
      </c>
      <c r="F412" s="13">
        <v>24294.400000000001</v>
      </c>
    </row>
    <row r="413" spans="1:6" x14ac:dyDescent="0.25">
      <c r="A413">
        <v>412</v>
      </c>
      <c r="B413" t="s">
        <v>192</v>
      </c>
      <c r="C413" t="s">
        <v>8</v>
      </c>
      <c r="D413">
        <v>2300</v>
      </c>
      <c r="E413" s="13">
        <v>2.4</v>
      </c>
      <c r="F413" s="13">
        <v>5520</v>
      </c>
    </row>
    <row r="414" spans="1:6" x14ac:dyDescent="0.25">
      <c r="A414">
        <v>413</v>
      </c>
      <c r="B414" t="s">
        <v>193</v>
      </c>
      <c r="C414" t="s">
        <v>7</v>
      </c>
      <c r="D414">
        <v>2514</v>
      </c>
      <c r="E414" s="13">
        <v>2.6</v>
      </c>
      <c r="F414" s="13">
        <v>6536.4</v>
      </c>
    </row>
    <row r="415" spans="1:6" x14ac:dyDescent="0.25">
      <c r="A415">
        <v>414</v>
      </c>
      <c r="B415" t="s">
        <v>193</v>
      </c>
      <c r="C415" t="s">
        <v>10</v>
      </c>
      <c r="D415">
        <v>3179</v>
      </c>
      <c r="E415" s="13">
        <v>9.5</v>
      </c>
      <c r="F415" s="13">
        <v>30200.5</v>
      </c>
    </row>
    <row r="416" spans="1:6" x14ac:dyDescent="0.25">
      <c r="A416">
        <v>415</v>
      </c>
      <c r="B416" t="s">
        <v>193</v>
      </c>
      <c r="C416" t="s">
        <v>8</v>
      </c>
      <c r="D416">
        <v>3770</v>
      </c>
      <c r="E416" s="13">
        <v>2.4</v>
      </c>
      <c r="F416" s="13">
        <v>9048</v>
      </c>
    </row>
    <row r="417" spans="1:6" x14ac:dyDescent="0.25">
      <c r="A417">
        <v>416</v>
      </c>
      <c r="B417" t="s">
        <v>193</v>
      </c>
      <c r="C417" t="s">
        <v>13</v>
      </c>
      <c r="D417">
        <v>1835</v>
      </c>
      <c r="E417" s="13">
        <v>6.2</v>
      </c>
      <c r="F417" s="13">
        <v>11377</v>
      </c>
    </row>
    <row r="418" spans="1:6" x14ac:dyDescent="0.25">
      <c r="A418">
        <v>417</v>
      </c>
      <c r="B418" t="s">
        <v>194</v>
      </c>
      <c r="C418" t="s">
        <v>10</v>
      </c>
      <c r="D418">
        <v>499</v>
      </c>
      <c r="E418" s="13">
        <v>9.5</v>
      </c>
      <c r="F418" s="13">
        <v>4740.5</v>
      </c>
    </row>
    <row r="419" spans="1:6" x14ac:dyDescent="0.25">
      <c r="A419">
        <v>418</v>
      </c>
      <c r="B419" t="s">
        <v>194</v>
      </c>
      <c r="C419" t="s">
        <v>8</v>
      </c>
      <c r="D419">
        <v>5148</v>
      </c>
      <c r="E419" s="13">
        <v>2.4</v>
      </c>
      <c r="F419" s="13">
        <v>12355.2</v>
      </c>
    </row>
    <row r="420" spans="1:6" x14ac:dyDescent="0.25">
      <c r="A420">
        <v>419</v>
      </c>
      <c r="B420" t="s">
        <v>195</v>
      </c>
      <c r="C420" t="s">
        <v>7</v>
      </c>
      <c r="D420">
        <v>3069</v>
      </c>
      <c r="E420" s="13">
        <v>2.6</v>
      </c>
      <c r="F420" s="13">
        <v>7979.4</v>
      </c>
    </row>
    <row r="421" spans="1:6" x14ac:dyDescent="0.25">
      <c r="A421">
        <v>420</v>
      </c>
      <c r="B421" t="s">
        <v>195</v>
      </c>
      <c r="C421" t="s">
        <v>13</v>
      </c>
      <c r="D421">
        <v>4045</v>
      </c>
      <c r="E421" s="13">
        <v>6.2</v>
      </c>
      <c r="F421" s="13">
        <v>25079</v>
      </c>
    </row>
    <row r="422" spans="1:6" x14ac:dyDescent="0.25">
      <c r="A422">
        <v>421</v>
      </c>
      <c r="B422" t="s">
        <v>196</v>
      </c>
      <c r="C422" t="s">
        <v>9</v>
      </c>
      <c r="D422">
        <v>443</v>
      </c>
      <c r="E422" s="13">
        <v>79.900000000000006</v>
      </c>
      <c r="F422" s="13">
        <v>35395.699999999997</v>
      </c>
    </row>
    <row r="423" spans="1:6" x14ac:dyDescent="0.25">
      <c r="A423">
        <v>422</v>
      </c>
      <c r="B423" t="s">
        <v>196</v>
      </c>
      <c r="C423" t="s">
        <v>8</v>
      </c>
      <c r="D423">
        <v>6556</v>
      </c>
      <c r="E423" s="13">
        <v>2.4</v>
      </c>
      <c r="F423" s="13">
        <v>15734.4</v>
      </c>
    </row>
    <row r="424" spans="1:6" x14ac:dyDescent="0.25">
      <c r="A424">
        <v>423</v>
      </c>
      <c r="B424" t="s">
        <v>196</v>
      </c>
      <c r="C424" t="s">
        <v>10</v>
      </c>
      <c r="D424">
        <v>654</v>
      </c>
      <c r="E424" s="13">
        <v>9.5</v>
      </c>
      <c r="F424" s="13">
        <v>6213</v>
      </c>
    </row>
    <row r="425" spans="1:6" x14ac:dyDescent="0.25">
      <c r="A425">
        <v>424</v>
      </c>
      <c r="B425" t="s">
        <v>197</v>
      </c>
      <c r="C425" t="s">
        <v>7</v>
      </c>
      <c r="D425">
        <v>1263</v>
      </c>
      <c r="E425" s="13">
        <v>2.6</v>
      </c>
      <c r="F425" s="13">
        <v>3283.8</v>
      </c>
    </row>
    <row r="426" spans="1:6" x14ac:dyDescent="0.25">
      <c r="A426">
        <v>425</v>
      </c>
      <c r="B426" t="s">
        <v>198</v>
      </c>
      <c r="C426" t="s">
        <v>8</v>
      </c>
      <c r="D426">
        <v>908</v>
      </c>
      <c r="E426" s="13">
        <v>2.4</v>
      </c>
      <c r="F426" s="13">
        <v>2179.1999999999998</v>
      </c>
    </row>
    <row r="427" spans="1:6" x14ac:dyDescent="0.25">
      <c r="A427">
        <v>426</v>
      </c>
      <c r="B427" t="s">
        <v>198</v>
      </c>
      <c r="C427" t="s">
        <v>13</v>
      </c>
      <c r="D427">
        <v>2903</v>
      </c>
      <c r="E427" s="13">
        <v>6.2</v>
      </c>
      <c r="F427" s="13">
        <v>17998.599999999999</v>
      </c>
    </row>
    <row r="428" spans="1:6" x14ac:dyDescent="0.25">
      <c r="A428">
        <v>427</v>
      </c>
      <c r="B428" t="s">
        <v>198</v>
      </c>
      <c r="C428" t="s">
        <v>9</v>
      </c>
      <c r="D428">
        <v>199</v>
      </c>
      <c r="E428" s="13">
        <v>79.900000000000006</v>
      </c>
      <c r="F428" s="13">
        <v>15900.1</v>
      </c>
    </row>
    <row r="429" spans="1:6" x14ac:dyDescent="0.25">
      <c r="A429">
        <v>428</v>
      </c>
      <c r="B429" t="s">
        <v>198</v>
      </c>
      <c r="C429" t="s">
        <v>10</v>
      </c>
      <c r="D429">
        <v>981</v>
      </c>
      <c r="E429" s="13">
        <v>9.5</v>
      </c>
      <c r="F429" s="13">
        <v>9319.5</v>
      </c>
    </row>
    <row r="430" spans="1:6" x14ac:dyDescent="0.25">
      <c r="A430">
        <v>429</v>
      </c>
      <c r="B430" t="s">
        <v>198</v>
      </c>
      <c r="C430" t="s">
        <v>7</v>
      </c>
      <c r="D430">
        <v>3064</v>
      </c>
      <c r="E430" s="13">
        <v>2.6</v>
      </c>
      <c r="F430" s="13">
        <v>7966.4</v>
      </c>
    </row>
    <row r="431" spans="1:6" x14ac:dyDescent="0.25">
      <c r="A431">
        <v>430</v>
      </c>
      <c r="B431" t="s">
        <v>199</v>
      </c>
      <c r="C431" t="s">
        <v>8</v>
      </c>
      <c r="D431">
        <v>3291</v>
      </c>
      <c r="E431" s="13">
        <v>2.4</v>
      </c>
      <c r="F431" s="13">
        <v>7898.4</v>
      </c>
    </row>
    <row r="432" spans="1:6" x14ac:dyDescent="0.25">
      <c r="A432">
        <v>431</v>
      </c>
      <c r="B432" t="s">
        <v>199</v>
      </c>
      <c r="C432" t="s">
        <v>13</v>
      </c>
      <c r="D432">
        <v>3170</v>
      </c>
      <c r="E432" s="13">
        <v>6.2</v>
      </c>
      <c r="F432" s="13">
        <v>19654</v>
      </c>
    </row>
    <row r="433" spans="1:6" x14ac:dyDescent="0.25">
      <c r="A433">
        <v>432</v>
      </c>
      <c r="B433" t="s">
        <v>199</v>
      </c>
      <c r="C433" t="s">
        <v>7</v>
      </c>
      <c r="D433">
        <v>6174</v>
      </c>
      <c r="E433" s="13">
        <v>2.6</v>
      </c>
      <c r="F433" s="13">
        <v>16052.4</v>
      </c>
    </row>
    <row r="434" spans="1:6" x14ac:dyDescent="0.25">
      <c r="A434">
        <v>433</v>
      </c>
      <c r="B434" t="s">
        <v>200</v>
      </c>
      <c r="C434" t="s">
        <v>9</v>
      </c>
      <c r="D434">
        <v>364</v>
      </c>
      <c r="E434" s="13">
        <v>79.900000000000006</v>
      </c>
      <c r="F434" s="13">
        <v>29083.599999999999</v>
      </c>
    </row>
    <row r="435" spans="1:6" x14ac:dyDescent="0.25">
      <c r="A435">
        <v>434</v>
      </c>
      <c r="B435" t="s">
        <v>200</v>
      </c>
      <c r="C435" t="s">
        <v>8</v>
      </c>
      <c r="D435">
        <v>9201</v>
      </c>
      <c r="E435" s="13">
        <v>2.4</v>
      </c>
      <c r="F435" s="13">
        <v>22082.400000000001</v>
      </c>
    </row>
    <row r="436" spans="1:6" x14ac:dyDescent="0.25">
      <c r="A436">
        <v>435</v>
      </c>
      <c r="B436" t="s">
        <v>200</v>
      </c>
      <c r="C436" t="s">
        <v>7</v>
      </c>
      <c r="D436">
        <v>1883</v>
      </c>
      <c r="E436" s="13">
        <v>2.6</v>
      </c>
      <c r="F436" s="13">
        <v>4895.8</v>
      </c>
    </row>
    <row r="437" spans="1:6" x14ac:dyDescent="0.25">
      <c r="A437">
        <v>436</v>
      </c>
      <c r="B437" t="s">
        <v>201</v>
      </c>
      <c r="C437" t="s">
        <v>9</v>
      </c>
      <c r="D437">
        <v>547</v>
      </c>
      <c r="E437" s="13">
        <v>79.900000000000006</v>
      </c>
      <c r="F437" s="13">
        <v>43705.3</v>
      </c>
    </row>
    <row r="438" spans="1:6" x14ac:dyDescent="0.25">
      <c r="A438">
        <v>437</v>
      </c>
      <c r="B438" t="s">
        <v>202</v>
      </c>
      <c r="C438" t="s">
        <v>8</v>
      </c>
      <c r="D438">
        <v>2015</v>
      </c>
      <c r="E438" s="13">
        <v>2.4</v>
      </c>
      <c r="F438" s="13">
        <v>4836</v>
      </c>
    </row>
    <row r="439" spans="1:6" x14ac:dyDescent="0.25">
      <c r="A439">
        <v>438</v>
      </c>
      <c r="B439" t="s">
        <v>202</v>
      </c>
      <c r="C439" t="s">
        <v>13</v>
      </c>
      <c r="D439">
        <v>311</v>
      </c>
      <c r="E439" s="13">
        <v>6.2</v>
      </c>
      <c r="F439" s="13">
        <v>1928.2</v>
      </c>
    </row>
    <row r="440" spans="1:6" x14ac:dyDescent="0.25">
      <c r="A440">
        <v>439</v>
      </c>
      <c r="B440" t="s">
        <v>202</v>
      </c>
      <c r="C440" t="s">
        <v>7</v>
      </c>
      <c r="D440">
        <v>4040</v>
      </c>
      <c r="E440" s="13">
        <v>2.6</v>
      </c>
      <c r="F440" s="13">
        <v>10504</v>
      </c>
    </row>
    <row r="441" spans="1:6" x14ac:dyDescent="0.25">
      <c r="A441">
        <v>440</v>
      </c>
      <c r="B441" t="s">
        <v>202</v>
      </c>
      <c r="C441" t="s">
        <v>10</v>
      </c>
      <c r="D441">
        <v>3229</v>
      </c>
      <c r="E441" s="13">
        <v>9.5</v>
      </c>
      <c r="F441" s="13">
        <v>30675.5</v>
      </c>
    </row>
    <row r="442" spans="1:6" x14ac:dyDescent="0.25">
      <c r="A442">
        <v>441</v>
      </c>
      <c r="B442" t="s">
        <v>203</v>
      </c>
      <c r="C442" t="s">
        <v>9</v>
      </c>
      <c r="D442">
        <v>592</v>
      </c>
      <c r="E442" s="13">
        <v>79.900000000000006</v>
      </c>
      <c r="F442" s="13">
        <v>47300.800000000003</v>
      </c>
    </row>
    <row r="443" spans="1:6" x14ac:dyDescent="0.25">
      <c r="A443">
        <v>442</v>
      </c>
      <c r="B443" t="s">
        <v>204</v>
      </c>
      <c r="C443" t="s">
        <v>8</v>
      </c>
      <c r="D443">
        <v>8363</v>
      </c>
      <c r="E443" s="13">
        <v>2.4</v>
      </c>
      <c r="F443" s="13">
        <v>20071.2</v>
      </c>
    </row>
    <row r="444" spans="1:6" x14ac:dyDescent="0.25">
      <c r="A444">
        <v>443</v>
      </c>
      <c r="B444" t="s">
        <v>205</v>
      </c>
      <c r="C444" t="s">
        <v>8</v>
      </c>
      <c r="D444">
        <v>4119</v>
      </c>
      <c r="E444" s="13">
        <v>2.4</v>
      </c>
      <c r="F444" s="13">
        <v>9885.6</v>
      </c>
    </row>
    <row r="445" spans="1:6" x14ac:dyDescent="0.25">
      <c r="A445">
        <v>444</v>
      </c>
      <c r="B445" t="s">
        <v>206</v>
      </c>
      <c r="C445" t="s">
        <v>10</v>
      </c>
      <c r="D445">
        <v>1427</v>
      </c>
      <c r="E445" s="13">
        <v>9.5</v>
      </c>
      <c r="F445" s="13">
        <v>13556.5</v>
      </c>
    </row>
    <row r="446" spans="1:6" x14ac:dyDescent="0.25">
      <c r="A446">
        <v>445</v>
      </c>
      <c r="B446" t="s">
        <v>207</v>
      </c>
      <c r="C446" t="s">
        <v>9</v>
      </c>
      <c r="D446">
        <v>201</v>
      </c>
      <c r="E446" s="13">
        <v>79.900000000000006</v>
      </c>
      <c r="F446" s="13">
        <v>16059.9</v>
      </c>
    </row>
    <row r="447" spans="1:6" x14ac:dyDescent="0.25">
      <c r="A447">
        <v>446</v>
      </c>
      <c r="B447" t="s">
        <v>208</v>
      </c>
      <c r="C447" t="s">
        <v>8</v>
      </c>
      <c r="D447">
        <v>7112</v>
      </c>
      <c r="E447" s="13">
        <v>2.4</v>
      </c>
      <c r="F447" s="13">
        <v>17068.8</v>
      </c>
    </row>
    <row r="448" spans="1:6" x14ac:dyDescent="0.25">
      <c r="A448">
        <v>447</v>
      </c>
      <c r="B448" t="s">
        <v>208</v>
      </c>
      <c r="C448" t="s">
        <v>7</v>
      </c>
      <c r="D448">
        <v>1920</v>
      </c>
      <c r="E448" s="13">
        <v>2.6</v>
      </c>
      <c r="F448" s="13">
        <v>4992</v>
      </c>
    </row>
    <row r="449" spans="1:6" x14ac:dyDescent="0.25">
      <c r="A449">
        <v>448</v>
      </c>
      <c r="B449" t="s">
        <v>209</v>
      </c>
      <c r="C449" t="s">
        <v>8</v>
      </c>
      <c r="D449">
        <v>9671</v>
      </c>
      <c r="E449" s="13">
        <v>2.4</v>
      </c>
      <c r="F449" s="13">
        <v>23210.400000000001</v>
      </c>
    </row>
    <row r="450" spans="1:6" x14ac:dyDescent="0.25">
      <c r="A450">
        <v>449</v>
      </c>
      <c r="B450" t="s">
        <v>209</v>
      </c>
      <c r="C450" t="s">
        <v>13</v>
      </c>
      <c r="D450">
        <v>3770</v>
      </c>
      <c r="E450" s="13">
        <v>6.2</v>
      </c>
      <c r="F450" s="13">
        <v>23374</v>
      </c>
    </row>
    <row r="451" spans="1:6" x14ac:dyDescent="0.25">
      <c r="A451">
        <v>450</v>
      </c>
      <c r="B451" t="s">
        <v>210</v>
      </c>
      <c r="C451" t="s">
        <v>8</v>
      </c>
      <c r="D451">
        <v>764</v>
      </c>
      <c r="E451" s="13">
        <v>2.4</v>
      </c>
      <c r="F451" s="13">
        <v>1833.6</v>
      </c>
    </row>
    <row r="452" spans="1:6" x14ac:dyDescent="0.25">
      <c r="A452">
        <v>451</v>
      </c>
      <c r="B452" t="s">
        <v>210</v>
      </c>
      <c r="C452" t="s">
        <v>10</v>
      </c>
      <c r="D452">
        <v>85</v>
      </c>
      <c r="E452" s="13">
        <v>9.5</v>
      </c>
      <c r="F452" s="13">
        <v>807.5</v>
      </c>
    </row>
    <row r="453" spans="1:6" x14ac:dyDescent="0.25">
      <c r="A453">
        <v>452</v>
      </c>
      <c r="B453" t="s">
        <v>210</v>
      </c>
      <c r="C453" t="s">
        <v>9</v>
      </c>
      <c r="D453">
        <v>340</v>
      </c>
      <c r="E453" s="13">
        <v>79.900000000000006</v>
      </c>
      <c r="F453" s="13">
        <v>27166</v>
      </c>
    </row>
    <row r="454" spans="1:6" x14ac:dyDescent="0.25">
      <c r="A454">
        <v>453</v>
      </c>
      <c r="B454" t="s">
        <v>210</v>
      </c>
      <c r="C454" t="s">
        <v>7</v>
      </c>
      <c r="D454">
        <v>5068</v>
      </c>
      <c r="E454" s="13">
        <v>2.6</v>
      </c>
      <c r="F454" s="13">
        <v>13176.8</v>
      </c>
    </row>
    <row r="455" spans="1:6" x14ac:dyDescent="0.25">
      <c r="A455">
        <v>454</v>
      </c>
      <c r="B455" t="s">
        <v>211</v>
      </c>
      <c r="C455" t="s">
        <v>8</v>
      </c>
      <c r="D455">
        <v>5280</v>
      </c>
      <c r="E455" s="13">
        <v>2.4</v>
      </c>
      <c r="F455" s="13">
        <v>12672</v>
      </c>
    </row>
    <row r="456" spans="1:6" x14ac:dyDescent="0.25">
      <c r="A456">
        <v>455</v>
      </c>
      <c r="B456" t="s">
        <v>211</v>
      </c>
      <c r="C456" t="s">
        <v>10</v>
      </c>
      <c r="D456">
        <v>3513</v>
      </c>
      <c r="E456" s="13">
        <v>9.5</v>
      </c>
      <c r="F456" s="13">
        <v>33373.5</v>
      </c>
    </row>
    <row r="457" spans="1:6" x14ac:dyDescent="0.25">
      <c r="A457">
        <v>456</v>
      </c>
      <c r="B457" t="s">
        <v>212</v>
      </c>
      <c r="C457" t="s">
        <v>13</v>
      </c>
      <c r="D457">
        <v>3000</v>
      </c>
      <c r="E457" s="13">
        <v>6.2</v>
      </c>
      <c r="F457" s="13">
        <v>18600</v>
      </c>
    </row>
    <row r="458" spans="1:6" x14ac:dyDescent="0.25">
      <c r="A458">
        <v>457</v>
      </c>
      <c r="B458" t="s">
        <v>212</v>
      </c>
      <c r="C458" t="s">
        <v>9</v>
      </c>
      <c r="D458">
        <v>119</v>
      </c>
      <c r="E458" s="13">
        <v>79.900000000000006</v>
      </c>
      <c r="F458" s="13">
        <v>9508.1</v>
      </c>
    </row>
    <row r="459" spans="1:6" x14ac:dyDescent="0.25">
      <c r="A459">
        <v>458</v>
      </c>
      <c r="B459" t="s">
        <v>212</v>
      </c>
      <c r="C459" t="s">
        <v>10</v>
      </c>
      <c r="D459">
        <v>74</v>
      </c>
      <c r="E459" s="13">
        <v>9.5</v>
      </c>
      <c r="F459" s="13">
        <v>703</v>
      </c>
    </row>
    <row r="460" spans="1:6" x14ac:dyDescent="0.25">
      <c r="A460">
        <v>459</v>
      </c>
      <c r="B460" t="s">
        <v>212</v>
      </c>
      <c r="C460" t="s">
        <v>7</v>
      </c>
      <c r="D460">
        <v>4533</v>
      </c>
      <c r="E460" s="13">
        <v>2.6</v>
      </c>
      <c r="F460" s="13">
        <v>11785.8</v>
      </c>
    </row>
    <row r="461" spans="1:6" x14ac:dyDescent="0.25">
      <c r="A461">
        <v>460</v>
      </c>
      <c r="B461" t="s">
        <v>213</v>
      </c>
      <c r="C461" t="s">
        <v>13</v>
      </c>
      <c r="D461">
        <v>1867</v>
      </c>
      <c r="E461" s="13">
        <v>6.2</v>
      </c>
      <c r="F461" s="13">
        <v>11575.4</v>
      </c>
    </row>
    <row r="462" spans="1:6" x14ac:dyDescent="0.25">
      <c r="A462">
        <v>461</v>
      </c>
      <c r="B462" t="s">
        <v>213</v>
      </c>
      <c r="C462" t="s">
        <v>8</v>
      </c>
      <c r="D462">
        <v>5438</v>
      </c>
      <c r="E462" s="13">
        <v>2.4</v>
      </c>
      <c r="F462" s="13">
        <v>13051.2</v>
      </c>
    </row>
    <row r="463" spans="1:6" x14ac:dyDescent="0.25">
      <c r="A463">
        <v>462</v>
      </c>
      <c r="B463" t="s">
        <v>213</v>
      </c>
      <c r="C463" t="s">
        <v>7</v>
      </c>
      <c r="D463">
        <v>610</v>
      </c>
      <c r="E463" s="13">
        <v>2.6</v>
      </c>
      <c r="F463" s="13">
        <v>1586</v>
      </c>
    </row>
    <row r="464" spans="1:6" x14ac:dyDescent="0.25">
      <c r="A464">
        <v>463</v>
      </c>
      <c r="B464" t="s">
        <v>213</v>
      </c>
      <c r="C464" t="s">
        <v>9</v>
      </c>
      <c r="D464">
        <v>237</v>
      </c>
      <c r="E464" s="13">
        <v>79.900000000000006</v>
      </c>
      <c r="F464" s="13">
        <v>18936.3</v>
      </c>
    </row>
    <row r="465" spans="1:6" x14ac:dyDescent="0.25">
      <c r="A465">
        <v>464</v>
      </c>
      <c r="B465" t="s">
        <v>213</v>
      </c>
      <c r="C465" t="s">
        <v>10</v>
      </c>
      <c r="D465">
        <v>429</v>
      </c>
      <c r="E465" s="13">
        <v>9.5</v>
      </c>
      <c r="F465" s="13">
        <v>4075.5</v>
      </c>
    </row>
    <row r="466" spans="1:6" x14ac:dyDescent="0.25">
      <c r="A466">
        <v>465</v>
      </c>
      <c r="B466" t="s">
        <v>214</v>
      </c>
      <c r="C466" t="s">
        <v>7</v>
      </c>
      <c r="D466">
        <v>1325</v>
      </c>
      <c r="E466" s="13">
        <v>2.6</v>
      </c>
      <c r="F466" s="13">
        <v>3445</v>
      </c>
    </row>
    <row r="467" spans="1:6" x14ac:dyDescent="0.25">
      <c r="A467">
        <v>466</v>
      </c>
      <c r="B467" t="s">
        <v>214</v>
      </c>
      <c r="C467" t="s">
        <v>8</v>
      </c>
      <c r="D467">
        <v>6487</v>
      </c>
      <c r="E467" s="13">
        <v>2.4</v>
      </c>
      <c r="F467" s="13">
        <v>15568.8</v>
      </c>
    </row>
    <row r="468" spans="1:6" x14ac:dyDescent="0.25">
      <c r="A468">
        <v>467</v>
      </c>
      <c r="B468" t="s">
        <v>215</v>
      </c>
      <c r="C468" t="s">
        <v>13</v>
      </c>
      <c r="D468">
        <v>4201</v>
      </c>
      <c r="E468" s="13">
        <v>6.2</v>
      </c>
      <c r="F468" s="13">
        <v>26046.2</v>
      </c>
    </row>
    <row r="469" spans="1:6" x14ac:dyDescent="0.25">
      <c r="A469">
        <v>468</v>
      </c>
      <c r="B469" t="s">
        <v>216</v>
      </c>
      <c r="C469" t="s">
        <v>8</v>
      </c>
      <c r="D469">
        <v>558</v>
      </c>
      <c r="E469" s="13">
        <v>2.4</v>
      </c>
      <c r="F469" s="13">
        <v>1339.2</v>
      </c>
    </row>
    <row r="470" spans="1:6" x14ac:dyDescent="0.25">
      <c r="A470">
        <v>469</v>
      </c>
      <c r="B470" t="s">
        <v>216</v>
      </c>
      <c r="C470" t="s">
        <v>9</v>
      </c>
      <c r="D470">
        <v>95</v>
      </c>
      <c r="E470" s="13">
        <v>79.900000000000006</v>
      </c>
      <c r="F470" s="13">
        <v>7590.5</v>
      </c>
    </row>
    <row r="471" spans="1:6" x14ac:dyDescent="0.25">
      <c r="A471">
        <v>470</v>
      </c>
      <c r="B471" t="s">
        <v>216</v>
      </c>
      <c r="C471" t="s">
        <v>10</v>
      </c>
      <c r="D471">
        <v>3232</v>
      </c>
      <c r="E471" s="13">
        <v>9.5</v>
      </c>
      <c r="F471" s="13">
        <v>30704</v>
      </c>
    </row>
    <row r="472" spans="1:6" x14ac:dyDescent="0.25">
      <c r="A472">
        <v>471</v>
      </c>
      <c r="B472" t="s">
        <v>216</v>
      </c>
      <c r="C472" t="s">
        <v>13</v>
      </c>
      <c r="D472">
        <v>2324</v>
      </c>
      <c r="E472" s="13">
        <v>6.2</v>
      </c>
      <c r="F472" s="13">
        <v>14408.8</v>
      </c>
    </row>
    <row r="473" spans="1:6" x14ac:dyDescent="0.25">
      <c r="A473">
        <v>472</v>
      </c>
      <c r="B473" t="s">
        <v>217</v>
      </c>
      <c r="C473" t="s">
        <v>13</v>
      </c>
      <c r="D473">
        <v>3157</v>
      </c>
      <c r="E473" s="13">
        <v>6.2</v>
      </c>
      <c r="F473" s="13">
        <v>19573.400000000001</v>
      </c>
    </row>
    <row r="474" spans="1:6" x14ac:dyDescent="0.25">
      <c r="A474">
        <v>473</v>
      </c>
      <c r="B474" t="s">
        <v>217</v>
      </c>
      <c r="C474" t="s">
        <v>7</v>
      </c>
      <c r="D474">
        <v>2105</v>
      </c>
      <c r="E474" s="13">
        <v>2.6</v>
      </c>
      <c r="F474" s="13">
        <v>5473</v>
      </c>
    </row>
    <row r="475" spans="1:6" x14ac:dyDescent="0.25">
      <c r="A475">
        <v>474</v>
      </c>
      <c r="B475" t="s">
        <v>217</v>
      </c>
      <c r="C475" t="s">
        <v>8</v>
      </c>
      <c r="D475">
        <v>4440</v>
      </c>
      <c r="E475" s="13">
        <v>2.4</v>
      </c>
      <c r="F475" s="13">
        <v>10656</v>
      </c>
    </row>
    <row r="476" spans="1:6" x14ac:dyDescent="0.25">
      <c r="A476">
        <v>475</v>
      </c>
      <c r="B476" t="s">
        <v>217</v>
      </c>
      <c r="C476" t="s">
        <v>10</v>
      </c>
      <c r="D476">
        <v>1750</v>
      </c>
      <c r="E476" s="13">
        <v>9.5</v>
      </c>
      <c r="F476" s="13">
        <v>16625</v>
      </c>
    </row>
    <row r="477" spans="1:6" x14ac:dyDescent="0.25">
      <c r="A477">
        <v>476</v>
      </c>
      <c r="B477" t="s">
        <v>218</v>
      </c>
      <c r="C477" t="s">
        <v>7</v>
      </c>
      <c r="D477">
        <v>7673</v>
      </c>
      <c r="E477" s="13">
        <v>2.6</v>
      </c>
      <c r="F477" s="13">
        <v>19949.8</v>
      </c>
    </row>
    <row r="478" spans="1:6" x14ac:dyDescent="0.25">
      <c r="A478">
        <v>477</v>
      </c>
      <c r="B478" t="s">
        <v>218</v>
      </c>
      <c r="C478" t="s">
        <v>8</v>
      </c>
      <c r="D478">
        <v>527</v>
      </c>
      <c r="E478" s="13">
        <v>2.4</v>
      </c>
      <c r="F478" s="13">
        <v>1264.8</v>
      </c>
    </row>
    <row r="479" spans="1:6" x14ac:dyDescent="0.25">
      <c r="A479">
        <v>478</v>
      </c>
      <c r="B479" t="s">
        <v>218</v>
      </c>
      <c r="C479" t="s">
        <v>10</v>
      </c>
      <c r="D479">
        <v>1680</v>
      </c>
      <c r="E479" s="13">
        <v>9.5</v>
      </c>
      <c r="F479" s="13">
        <v>15960</v>
      </c>
    </row>
    <row r="480" spans="1:6" x14ac:dyDescent="0.25">
      <c r="A480">
        <v>479</v>
      </c>
      <c r="B480" t="s">
        <v>219</v>
      </c>
      <c r="C480" t="s">
        <v>9</v>
      </c>
      <c r="D480">
        <v>128</v>
      </c>
      <c r="E480" s="13">
        <v>79.900000000000006</v>
      </c>
      <c r="F480" s="13">
        <v>10227.200000000001</v>
      </c>
    </row>
    <row r="481" spans="1:6" x14ac:dyDescent="0.25">
      <c r="A481">
        <v>480</v>
      </c>
      <c r="B481" t="s">
        <v>219</v>
      </c>
      <c r="C481" t="s">
        <v>8</v>
      </c>
      <c r="D481">
        <v>1637</v>
      </c>
      <c r="E481" s="13">
        <v>2.4</v>
      </c>
      <c r="F481" s="13">
        <v>3928.8</v>
      </c>
    </row>
    <row r="482" spans="1:6" x14ac:dyDescent="0.25">
      <c r="A482">
        <v>481</v>
      </c>
      <c r="B482" t="s">
        <v>219</v>
      </c>
      <c r="C482" t="s">
        <v>13</v>
      </c>
      <c r="D482">
        <v>4311</v>
      </c>
      <c r="E482" s="13">
        <v>6.2</v>
      </c>
      <c r="F482" s="13">
        <v>26728.2</v>
      </c>
    </row>
    <row r="483" spans="1:6" x14ac:dyDescent="0.25">
      <c r="A483">
        <v>482</v>
      </c>
      <c r="B483" t="s">
        <v>220</v>
      </c>
      <c r="C483" t="s">
        <v>7</v>
      </c>
      <c r="D483">
        <v>2189</v>
      </c>
      <c r="E483" s="13">
        <v>2.6</v>
      </c>
      <c r="F483" s="13">
        <v>5691.4</v>
      </c>
    </row>
    <row r="484" spans="1:6" x14ac:dyDescent="0.25">
      <c r="A484">
        <v>483</v>
      </c>
      <c r="B484" t="s">
        <v>220</v>
      </c>
      <c r="C484" t="s">
        <v>13</v>
      </c>
      <c r="D484">
        <v>4096</v>
      </c>
      <c r="E484" s="13">
        <v>6.2</v>
      </c>
      <c r="F484" s="13">
        <v>25395.200000000001</v>
      </c>
    </row>
    <row r="485" spans="1:6" x14ac:dyDescent="0.25">
      <c r="A485">
        <v>484</v>
      </c>
      <c r="B485" t="s">
        <v>220</v>
      </c>
      <c r="C485" t="s">
        <v>8</v>
      </c>
      <c r="D485">
        <v>1223</v>
      </c>
      <c r="E485" s="13">
        <v>2.4</v>
      </c>
      <c r="F485" s="13">
        <v>2935.2</v>
      </c>
    </row>
    <row r="486" spans="1:6" x14ac:dyDescent="0.25">
      <c r="A486">
        <v>485</v>
      </c>
      <c r="B486" t="s">
        <v>221</v>
      </c>
      <c r="C486" t="s">
        <v>8</v>
      </c>
      <c r="D486">
        <v>268</v>
      </c>
      <c r="E486" s="13">
        <v>2.4</v>
      </c>
      <c r="F486" s="13">
        <v>643.20000000000005</v>
      </c>
    </row>
    <row r="487" spans="1:6" x14ac:dyDescent="0.25">
      <c r="A487">
        <v>486</v>
      </c>
      <c r="B487" t="s">
        <v>222</v>
      </c>
      <c r="C487" t="s">
        <v>13</v>
      </c>
      <c r="D487">
        <v>64</v>
      </c>
      <c r="E487" s="13">
        <v>6.2</v>
      </c>
      <c r="F487" s="13">
        <v>396.8</v>
      </c>
    </row>
    <row r="488" spans="1:6" x14ac:dyDescent="0.25">
      <c r="A488">
        <v>487</v>
      </c>
      <c r="B488" t="s">
        <v>222</v>
      </c>
      <c r="C488" t="s">
        <v>7</v>
      </c>
      <c r="D488">
        <v>3126</v>
      </c>
      <c r="E488" s="13">
        <v>2.6</v>
      </c>
      <c r="F488" s="13">
        <v>8127.6</v>
      </c>
    </row>
    <row r="489" spans="1:6" x14ac:dyDescent="0.25">
      <c r="A489">
        <v>488</v>
      </c>
      <c r="B489" t="s">
        <v>222</v>
      </c>
      <c r="C489" t="s">
        <v>10</v>
      </c>
      <c r="D489">
        <v>1750</v>
      </c>
      <c r="E489" s="13">
        <v>9.5</v>
      </c>
      <c r="F489" s="13">
        <v>16625</v>
      </c>
    </row>
    <row r="490" spans="1:6" x14ac:dyDescent="0.25">
      <c r="A490">
        <v>489</v>
      </c>
      <c r="B490" t="s">
        <v>222</v>
      </c>
      <c r="C490" t="s">
        <v>8</v>
      </c>
      <c r="D490">
        <v>9331</v>
      </c>
      <c r="E490" s="13">
        <v>2.4</v>
      </c>
      <c r="F490" s="13">
        <v>22394.400000000001</v>
      </c>
    </row>
    <row r="491" spans="1:6" x14ac:dyDescent="0.25">
      <c r="A491">
        <v>490</v>
      </c>
      <c r="B491" t="s">
        <v>223</v>
      </c>
      <c r="C491" t="s">
        <v>9</v>
      </c>
      <c r="D491">
        <v>295</v>
      </c>
      <c r="E491" s="13">
        <v>79.900000000000006</v>
      </c>
      <c r="F491" s="13">
        <v>23570.5</v>
      </c>
    </row>
    <row r="492" spans="1:6" x14ac:dyDescent="0.25">
      <c r="A492">
        <v>491</v>
      </c>
      <c r="B492" t="s">
        <v>224</v>
      </c>
      <c r="C492" t="s">
        <v>7</v>
      </c>
      <c r="D492">
        <v>5393</v>
      </c>
      <c r="E492" s="13">
        <v>2.6</v>
      </c>
      <c r="F492" s="13">
        <v>14021.8</v>
      </c>
    </row>
    <row r="493" spans="1:6" x14ac:dyDescent="0.25">
      <c r="A493">
        <v>492</v>
      </c>
      <c r="B493" t="s">
        <v>225</v>
      </c>
      <c r="C493" t="s">
        <v>7</v>
      </c>
      <c r="D493">
        <v>7707</v>
      </c>
      <c r="E493" s="13">
        <v>2.6</v>
      </c>
      <c r="F493" s="13">
        <v>20038.2</v>
      </c>
    </row>
    <row r="494" spans="1:6" x14ac:dyDescent="0.25">
      <c r="A494">
        <v>493</v>
      </c>
      <c r="B494" t="s">
        <v>225</v>
      </c>
      <c r="C494" t="s">
        <v>10</v>
      </c>
      <c r="D494">
        <v>2736</v>
      </c>
      <c r="E494" s="13">
        <v>9.5</v>
      </c>
      <c r="F494" s="13">
        <v>25992</v>
      </c>
    </row>
    <row r="495" spans="1:6" x14ac:dyDescent="0.25">
      <c r="A495">
        <v>494</v>
      </c>
      <c r="B495" t="s">
        <v>226</v>
      </c>
      <c r="C495" t="s">
        <v>9</v>
      </c>
      <c r="D495">
        <v>121</v>
      </c>
      <c r="E495" s="13">
        <v>79.900000000000006</v>
      </c>
      <c r="F495" s="13">
        <v>9667.9</v>
      </c>
    </row>
    <row r="496" spans="1:6" x14ac:dyDescent="0.25">
      <c r="A496">
        <v>495</v>
      </c>
      <c r="B496" t="s">
        <v>226</v>
      </c>
      <c r="C496" t="s">
        <v>8</v>
      </c>
      <c r="D496">
        <v>8600</v>
      </c>
      <c r="E496" s="13">
        <v>2.4</v>
      </c>
      <c r="F496" s="13">
        <v>20640</v>
      </c>
    </row>
    <row r="497" spans="1:6" x14ac:dyDescent="0.25">
      <c r="A497">
        <v>496</v>
      </c>
      <c r="B497" t="s">
        <v>226</v>
      </c>
      <c r="C497" t="s">
        <v>13</v>
      </c>
      <c r="D497">
        <v>3883</v>
      </c>
      <c r="E497" s="13">
        <v>6.2</v>
      </c>
      <c r="F497" s="13">
        <v>24074.6</v>
      </c>
    </row>
    <row r="498" spans="1:6" x14ac:dyDescent="0.25">
      <c r="A498">
        <v>497</v>
      </c>
      <c r="B498" t="s">
        <v>227</v>
      </c>
      <c r="C498" t="s">
        <v>10</v>
      </c>
      <c r="D498">
        <v>2268</v>
      </c>
      <c r="E498" s="13">
        <v>9.5</v>
      </c>
      <c r="F498" s="13">
        <v>21546</v>
      </c>
    </row>
    <row r="499" spans="1:6" x14ac:dyDescent="0.25">
      <c r="A499">
        <v>498</v>
      </c>
      <c r="B499" t="s">
        <v>227</v>
      </c>
      <c r="C499" t="s">
        <v>7</v>
      </c>
      <c r="D499">
        <v>5723</v>
      </c>
      <c r="E499" s="13">
        <v>2.6</v>
      </c>
      <c r="F499" s="13">
        <v>14879.8</v>
      </c>
    </row>
    <row r="500" spans="1:6" x14ac:dyDescent="0.25">
      <c r="A500">
        <v>499</v>
      </c>
      <c r="B500" t="s">
        <v>227</v>
      </c>
      <c r="C500" t="s">
        <v>8</v>
      </c>
      <c r="D500">
        <v>3638</v>
      </c>
      <c r="E500" s="13">
        <v>2.4</v>
      </c>
      <c r="F500" s="13">
        <v>8731.2000000000007</v>
      </c>
    </row>
    <row r="501" spans="1:6" x14ac:dyDescent="0.25">
      <c r="A501">
        <v>500</v>
      </c>
      <c r="B501" t="s">
        <v>228</v>
      </c>
      <c r="C501" t="s">
        <v>10</v>
      </c>
      <c r="D501">
        <v>1569</v>
      </c>
      <c r="E501" s="13">
        <v>9.5</v>
      </c>
      <c r="F501" s="13">
        <v>14905.5</v>
      </c>
    </row>
    <row r="502" spans="1:6" x14ac:dyDescent="0.25">
      <c r="A502">
        <v>501</v>
      </c>
      <c r="B502" t="s">
        <v>228</v>
      </c>
      <c r="C502" t="s">
        <v>7</v>
      </c>
      <c r="D502">
        <v>8869</v>
      </c>
      <c r="E502" s="13">
        <v>2.6</v>
      </c>
      <c r="F502" s="13">
        <v>23059.4</v>
      </c>
    </row>
    <row r="503" spans="1:6" x14ac:dyDescent="0.25">
      <c r="A503">
        <v>502</v>
      </c>
      <c r="B503" t="s">
        <v>228</v>
      </c>
      <c r="C503" t="s">
        <v>13</v>
      </c>
      <c r="D503">
        <v>1637</v>
      </c>
      <c r="E503" s="13">
        <v>6.2</v>
      </c>
      <c r="F503" s="13">
        <v>10149.4</v>
      </c>
    </row>
    <row r="504" spans="1:6" x14ac:dyDescent="0.25">
      <c r="A504">
        <v>503</v>
      </c>
      <c r="B504" t="s">
        <v>228</v>
      </c>
      <c r="C504" t="s">
        <v>8</v>
      </c>
      <c r="D504">
        <v>50</v>
      </c>
      <c r="E504" s="13">
        <v>2.4</v>
      </c>
      <c r="F504" s="13">
        <v>120</v>
      </c>
    </row>
    <row r="505" spans="1:6" x14ac:dyDescent="0.25">
      <c r="A505">
        <v>504</v>
      </c>
      <c r="B505" t="s">
        <v>228</v>
      </c>
      <c r="C505" t="s">
        <v>9</v>
      </c>
      <c r="D505">
        <v>46</v>
      </c>
      <c r="E505" s="13">
        <v>79.900000000000006</v>
      </c>
      <c r="F505" s="13">
        <v>3675.4</v>
      </c>
    </row>
    <row r="506" spans="1:6" x14ac:dyDescent="0.25">
      <c r="A506">
        <v>505</v>
      </c>
      <c r="B506" t="s">
        <v>229</v>
      </c>
      <c r="C506" t="s">
        <v>7</v>
      </c>
      <c r="D506">
        <v>6398</v>
      </c>
      <c r="E506" s="13">
        <v>2.6</v>
      </c>
      <c r="F506" s="13">
        <v>16634.8</v>
      </c>
    </row>
    <row r="507" spans="1:6" x14ac:dyDescent="0.25">
      <c r="A507">
        <v>506</v>
      </c>
      <c r="B507" t="s">
        <v>229</v>
      </c>
      <c r="C507" t="s">
        <v>10</v>
      </c>
      <c r="D507">
        <v>21</v>
      </c>
      <c r="E507" s="13">
        <v>9.5</v>
      </c>
      <c r="F507" s="13">
        <v>199.5</v>
      </c>
    </row>
    <row r="508" spans="1:6" x14ac:dyDescent="0.25">
      <c r="A508">
        <v>507</v>
      </c>
      <c r="B508" t="s">
        <v>230</v>
      </c>
      <c r="C508" t="s">
        <v>13</v>
      </c>
      <c r="D508">
        <v>3970</v>
      </c>
      <c r="E508" s="13">
        <v>6.2</v>
      </c>
      <c r="F508" s="13">
        <v>24614</v>
      </c>
    </row>
    <row r="509" spans="1:6" x14ac:dyDescent="0.25">
      <c r="A509">
        <v>508</v>
      </c>
      <c r="B509" t="s">
        <v>230</v>
      </c>
      <c r="C509" t="s">
        <v>10</v>
      </c>
      <c r="D509">
        <v>812</v>
      </c>
      <c r="E509" s="13">
        <v>9.5</v>
      </c>
      <c r="F509" s="13">
        <v>7714</v>
      </c>
    </row>
    <row r="510" spans="1:6" x14ac:dyDescent="0.25">
      <c r="A510">
        <v>509</v>
      </c>
      <c r="B510" t="s">
        <v>230</v>
      </c>
      <c r="C510" t="s">
        <v>8</v>
      </c>
      <c r="D510">
        <v>6118</v>
      </c>
      <c r="E510" s="13">
        <v>2.4</v>
      </c>
      <c r="F510" s="13">
        <v>14683.2</v>
      </c>
    </row>
    <row r="511" spans="1:6" x14ac:dyDescent="0.25">
      <c r="A511">
        <v>510</v>
      </c>
      <c r="B511" t="s">
        <v>231</v>
      </c>
      <c r="C511" t="s">
        <v>10</v>
      </c>
      <c r="D511">
        <v>363</v>
      </c>
      <c r="E511" s="13">
        <v>9.5</v>
      </c>
      <c r="F511" s="13">
        <v>3448.5</v>
      </c>
    </row>
    <row r="512" spans="1:6" x14ac:dyDescent="0.25">
      <c r="A512">
        <v>511</v>
      </c>
      <c r="B512" t="s">
        <v>232</v>
      </c>
      <c r="C512" t="s">
        <v>7</v>
      </c>
      <c r="D512">
        <v>7630</v>
      </c>
      <c r="E512" s="13">
        <v>2.6</v>
      </c>
      <c r="F512" s="13">
        <v>19838</v>
      </c>
    </row>
    <row r="513" spans="1:6" x14ac:dyDescent="0.25">
      <c r="A513">
        <v>512</v>
      </c>
      <c r="B513" t="s">
        <v>232</v>
      </c>
      <c r="C513" t="s">
        <v>10</v>
      </c>
      <c r="D513">
        <v>272</v>
      </c>
      <c r="E513" s="13">
        <v>9.5</v>
      </c>
      <c r="F513" s="13">
        <v>2584</v>
      </c>
    </row>
    <row r="514" spans="1:6" x14ac:dyDescent="0.25">
      <c r="A514">
        <v>513</v>
      </c>
      <c r="B514" t="s">
        <v>232</v>
      </c>
      <c r="C514" t="s">
        <v>13</v>
      </c>
      <c r="D514">
        <v>36</v>
      </c>
      <c r="E514" s="13">
        <v>6.2</v>
      </c>
      <c r="F514" s="13">
        <v>223.2</v>
      </c>
    </row>
    <row r="515" spans="1:6" x14ac:dyDescent="0.25">
      <c r="A515">
        <v>514</v>
      </c>
      <c r="B515" t="s">
        <v>232</v>
      </c>
      <c r="C515" t="s">
        <v>9</v>
      </c>
      <c r="D515">
        <v>21</v>
      </c>
      <c r="E515" s="13">
        <v>79.900000000000006</v>
      </c>
      <c r="F515" s="13">
        <v>1677.9</v>
      </c>
    </row>
    <row r="516" spans="1:6" x14ac:dyDescent="0.25">
      <c r="A516">
        <v>515</v>
      </c>
      <c r="B516" t="s">
        <v>233</v>
      </c>
      <c r="C516" t="s">
        <v>7</v>
      </c>
      <c r="D516">
        <v>5788</v>
      </c>
      <c r="E516" s="13">
        <v>2.6</v>
      </c>
      <c r="F516" s="13">
        <v>15048.8</v>
      </c>
    </row>
    <row r="517" spans="1:6" x14ac:dyDescent="0.25">
      <c r="A517">
        <v>516</v>
      </c>
      <c r="B517" t="s">
        <v>234</v>
      </c>
      <c r="C517" t="s">
        <v>8</v>
      </c>
      <c r="D517">
        <v>404</v>
      </c>
      <c r="E517" s="13">
        <v>2.4</v>
      </c>
      <c r="F517" s="13">
        <v>969.6</v>
      </c>
    </row>
    <row r="518" spans="1:6" x14ac:dyDescent="0.25">
      <c r="A518">
        <v>517</v>
      </c>
      <c r="B518" t="s">
        <v>234</v>
      </c>
      <c r="C518" t="s">
        <v>13</v>
      </c>
      <c r="D518">
        <v>4101</v>
      </c>
      <c r="E518" s="13">
        <v>6.2</v>
      </c>
      <c r="F518" s="13">
        <v>25426.2</v>
      </c>
    </row>
    <row r="519" spans="1:6" x14ac:dyDescent="0.25">
      <c r="A519">
        <v>518</v>
      </c>
      <c r="B519" t="s">
        <v>234</v>
      </c>
      <c r="C519" t="s">
        <v>10</v>
      </c>
      <c r="D519">
        <v>536</v>
      </c>
      <c r="E519" s="13">
        <v>9.5</v>
      </c>
      <c r="F519" s="13">
        <v>5092</v>
      </c>
    </row>
    <row r="520" spans="1:6" x14ac:dyDescent="0.25">
      <c r="A520">
        <v>519</v>
      </c>
      <c r="B520" t="s">
        <v>235</v>
      </c>
      <c r="C520" t="s">
        <v>7</v>
      </c>
      <c r="D520">
        <v>2065</v>
      </c>
      <c r="E520" s="13">
        <v>2.6</v>
      </c>
      <c r="F520" s="13">
        <v>5369</v>
      </c>
    </row>
    <row r="521" spans="1:6" x14ac:dyDescent="0.25">
      <c r="A521">
        <v>520</v>
      </c>
      <c r="B521" t="s">
        <v>235</v>
      </c>
      <c r="C521" t="s">
        <v>9</v>
      </c>
      <c r="D521">
        <v>17</v>
      </c>
      <c r="E521" s="13">
        <v>79.900000000000006</v>
      </c>
      <c r="F521" s="13">
        <v>1358.3</v>
      </c>
    </row>
    <row r="522" spans="1:6" x14ac:dyDescent="0.25">
      <c r="A522">
        <v>521</v>
      </c>
      <c r="B522" t="s">
        <v>236</v>
      </c>
      <c r="C522" t="s">
        <v>8</v>
      </c>
      <c r="D522">
        <v>6612</v>
      </c>
      <c r="E522" s="13">
        <v>2.4</v>
      </c>
      <c r="F522" s="13">
        <v>15868.8</v>
      </c>
    </row>
    <row r="523" spans="1:6" x14ac:dyDescent="0.25">
      <c r="A523">
        <v>522</v>
      </c>
      <c r="B523" t="s">
        <v>236</v>
      </c>
      <c r="C523" t="s">
        <v>9</v>
      </c>
      <c r="D523">
        <v>263</v>
      </c>
      <c r="E523" s="13">
        <v>79.900000000000006</v>
      </c>
      <c r="F523" s="13">
        <v>21013.7</v>
      </c>
    </row>
    <row r="524" spans="1:6" x14ac:dyDescent="0.25">
      <c r="A524">
        <v>523</v>
      </c>
      <c r="B524" t="s">
        <v>237</v>
      </c>
      <c r="C524" t="s">
        <v>8</v>
      </c>
      <c r="D524">
        <v>6574</v>
      </c>
      <c r="E524" s="13">
        <v>2.4</v>
      </c>
      <c r="F524" s="13">
        <v>15777.6</v>
      </c>
    </row>
    <row r="525" spans="1:6" x14ac:dyDescent="0.25">
      <c r="A525">
        <v>524</v>
      </c>
      <c r="B525" t="s">
        <v>237</v>
      </c>
      <c r="C525" t="s">
        <v>7</v>
      </c>
      <c r="D525">
        <v>962</v>
      </c>
      <c r="E525" s="13">
        <v>2.6</v>
      </c>
      <c r="F525" s="13">
        <v>2501.1999999999998</v>
      </c>
    </row>
    <row r="526" spans="1:6" x14ac:dyDescent="0.25">
      <c r="A526">
        <v>525</v>
      </c>
      <c r="B526" t="s">
        <v>237</v>
      </c>
      <c r="C526" t="s">
        <v>9</v>
      </c>
      <c r="D526">
        <v>446</v>
      </c>
      <c r="E526" s="13">
        <v>79.900000000000006</v>
      </c>
      <c r="F526" s="13">
        <v>35635.4</v>
      </c>
    </row>
    <row r="527" spans="1:6" x14ac:dyDescent="0.25">
      <c r="A527">
        <v>526</v>
      </c>
      <c r="B527" t="s">
        <v>238</v>
      </c>
      <c r="C527" t="s">
        <v>13</v>
      </c>
      <c r="D527">
        <v>726</v>
      </c>
      <c r="E527" s="13">
        <v>6.2</v>
      </c>
      <c r="F527" s="13">
        <v>4501.2</v>
      </c>
    </row>
    <row r="528" spans="1:6" x14ac:dyDescent="0.25">
      <c r="A528">
        <v>527</v>
      </c>
      <c r="B528" t="s">
        <v>238</v>
      </c>
      <c r="C528" t="s">
        <v>7</v>
      </c>
      <c r="D528">
        <v>8697</v>
      </c>
      <c r="E528" s="13">
        <v>2.6</v>
      </c>
      <c r="F528" s="13">
        <v>22612.2</v>
      </c>
    </row>
    <row r="529" spans="1:6" x14ac:dyDescent="0.25">
      <c r="A529">
        <v>528</v>
      </c>
      <c r="B529" t="s">
        <v>239</v>
      </c>
      <c r="C529" t="s">
        <v>7</v>
      </c>
      <c r="D529">
        <v>274</v>
      </c>
      <c r="E529" s="13">
        <v>2.6</v>
      </c>
      <c r="F529" s="13">
        <v>712.4</v>
      </c>
    </row>
    <row r="530" spans="1:6" x14ac:dyDescent="0.25">
      <c r="A530">
        <v>529</v>
      </c>
      <c r="B530" t="s">
        <v>239</v>
      </c>
      <c r="C530" t="s">
        <v>10</v>
      </c>
      <c r="D530">
        <v>3515</v>
      </c>
      <c r="E530" s="13">
        <v>9.5</v>
      </c>
      <c r="F530" s="13">
        <v>33392.5</v>
      </c>
    </row>
    <row r="531" spans="1:6" x14ac:dyDescent="0.25">
      <c r="A531">
        <v>530</v>
      </c>
      <c r="B531" t="s">
        <v>240</v>
      </c>
      <c r="C531" t="s">
        <v>10</v>
      </c>
      <c r="D531">
        <v>3712</v>
      </c>
      <c r="E531" s="13">
        <v>9.5</v>
      </c>
      <c r="F531" s="13">
        <v>35264</v>
      </c>
    </row>
    <row r="532" spans="1:6" x14ac:dyDescent="0.25">
      <c r="A532">
        <v>531</v>
      </c>
      <c r="B532" t="s">
        <v>240</v>
      </c>
      <c r="C532" t="s">
        <v>13</v>
      </c>
      <c r="D532">
        <v>3001</v>
      </c>
      <c r="E532" s="13">
        <v>6.2</v>
      </c>
      <c r="F532" s="13">
        <v>18606.2</v>
      </c>
    </row>
    <row r="533" spans="1:6" x14ac:dyDescent="0.25">
      <c r="A533">
        <v>532</v>
      </c>
      <c r="B533" t="s">
        <v>241</v>
      </c>
      <c r="C533" t="s">
        <v>9</v>
      </c>
      <c r="D533">
        <v>325</v>
      </c>
      <c r="E533" s="13">
        <v>79.900000000000006</v>
      </c>
      <c r="F533" s="13">
        <v>25967.5</v>
      </c>
    </row>
    <row r="534" spans="1:6" x14ac:dyDescent="0.25">
      <c r="A534">
        <v>533</v>
      </c>
      <c r="B534" t="s">
        <v>241</v>
      </c>
      <c r="C534" t="s">
        <v>13</v>
      </c>
      <c r="D534">
        <v>2768</v>
      </c>
      <c r="E534" s="13">
        <v>6.2</v>
      </c>
      <c r="F534" s="13">
        <v>17161.599999999999</v>
      </c>
    </row>
    <row r="535" spans="1:6" x14ac:dyDescent="0.25">
      <c r="A535">
        <v>534</v>
      </c>
      <c r="B535" t="s">
        <v>242</v>
      </c>
      <c r="C535" t="s">
        <v>8</v>
      </c>
      <c r="D535">
        <v>3675</v>
      </c>
      <c r="E535" s="13">
        <v>2.4</v>
      </c>
      <c r="F535" s="13">
        <v>8820</v>
      </c>
    </row>
    <row r="536" spans="1:6" x14ac:dyDescent="0.25">
      <c r="A536">
        <v>535</v>
      </c>
      <c r="B536" t="s">
        <v>242</v>
      </c>
      <c r="C536" t="s">
        <v>10</v>
      </c>
      <c r="D536">
        <v>488</v>
      </c>
      <c r="E536" s="13">
        <v>9.5</v>
      </c>
      <c r="F536" s="13">
        <v>4636</v>
      </c>
    </row>
    <row r="537" spans="1:6" x14ac:dyDescent="0.25">
      <c r="A537">
        <v>536</v>
      </c>
      <c r="B537" t="s">
        <v>243</v>
      </c>
      <c r="C537" t="s">
        <v>13</v>
      </c>
      <c r="D537">
        <v>654</v>
      </c>
      <c r="E537" s="13">
        <v>6.2</v>
      </c>
      <c r="F537" s="13">
        <v>4054.8</v>
      </c>
    </row>
    <row r="538" spans="1:6" x14ac:dyDescent="0.25">
      <c r="A538">
        <v>537</v>
      </c>
      <c r="B538" t="s">
        <v>243</v>
      </c>
      <c r="C538" t="s">
        <v>8</v>
      </c>
      <c r="D538">
        <v>4193</v>
      </c>
      <c r="E538" s="13">
        <v>2.4</v>
      </c>
      <c r="F538" s="13">
        <v>10063.200000000001</v>
      </c>
    </row>
    <row r="539" spans="1:6" x14ac:dyDescent="0.25">
      <c r="A539">
        <v>538</v>
      </c>
      <c r="B539" t="s">
        <v>244</v>
      </c>
      <c r="C539" t="s">
        <v>10</v>
      </c>
      <c r="D539">
        <v>3842</v>
      </c>
      <c r="E539" s="13">
        <v>9.5</v>
      </c>
      <c r="F539" s="13">
        <v>36499</v>
      </c>
    </row>
    <row r="540" spans="1:6" x14ac:dyDescent="0.25">
      <c r="A540">
        <v>539</v>
      </c>
      <c r="B540" t="s">
        <v>245</v>
      </c>
      <c r="C540" t="s">
        <v>7</v>
      </c>
      <c r="D540">
        <v>6595</v>
      </c>
      <c r="E540" s="13">
        <v>2.6</v>
      </c>
      <c r="F540" s="13">
        <v>17147</v>
      </c>
    </row>
    <row r="541" spans="1:6" x14ac:dyDescent="0.25">
      <c r="A541">
        <v>540</v>
      </c>
      <c r="B541" t="s">
        <v>245</v>
      </c>
      <c r="C541" t="s">
        <v>13</v>
      </c>
      <c r="D541">
        <v>1934</v>
      </c>
      <c r="E541" s="13">
        <v>6.2</v>
      </c>
      <c r="F541" s="13">
        <v>11990.8</v>
      </c>
    </row>
    <row r="542" spans="1:6" x14ac:dyDescent="0.25">
      <c r="A542">
        <v>541</v>
      </c>
      <c r="B542" t="s">
        <v>245</v>
      </c>
      <c r="C542" t="s">
        <v>8</v>
      </c>
      <c r="D542">
        <v>1455</v>
      </c>
      <c r="E542" s="13">
        <v>2.4</v>
      </c>
      <c r="F542" s="13">
        <v>3492</v>
      </c>
    </row>
    <row r="543" spans="1:6" x14ac:dyDescent="0.25">
      <c r="A543">
        <v>542</v>
      </c>
      <c r="B543" t="s">
        <v>246</v>
      </c>
      <c r="C543" t="s">
        <v>7</v>
      </c>
      <c r="D543">
        <v>4153</v>
      </c>
      <c r="E543" s="13">
        <v>2.6</v>
      </c>
      <c r="F543" s="13">
        <v>10797.8</v>
      </c>
    </row>
    <row r="544" spans="1:6" x14ac:dyDescent="0.25">
      <c r="A544">
        <v>543</v>
      </c>
      <c r="B544" t="s">
        <v>246</v>
      </c>
      <c r="C544" t="s">
        <v>13</v>
      </c>
      <c r="D544">
        <v>2057</v>
      </c>
      <c r="E544" s="13">
        <v>6.2</v>
      </c>
      <c r="F544" s="13">
        <v>12753.4</v>
      </c>
    </row>
    <row r="545" spans="1:6" x14ac:dyDescent="0.25">
      <c r="A545">
        <v>544</v>
      </c>
      <c r="B545" t="s">
        <v>247</v>
      </c>
      <c r="C545" t="s">
        <v>13</v>
      </c>
      <c r="D545">
        <v>5168</v>
      </c>
      <c r="E545" s="13">
        <v>6.2</v>
      </c>
      <c r="F545" s="13">
        <v>32041.599999999999</v>
      </c>
    </row>
    <row r="546" spans="1:6" x14ac:dyDescent="0.25">
      <c r="A546">
        <v>545</v>
      </c>
      <c r="B546" t="s">
        <v>247</v>
      </c>
      <c r="C546" t="s">
        <v>10</v>
      </c>
      <c r="D546">
        <v>247</v>
      </c>
      <c r="E546" s="13">
        <v>9.5</v>
      </c>
      <c r="F546" s="13">
        <v>2346.5</v>
      </c>
    </row>
    <row r="547" spans="1:6" x14ac:dyDescent="0.25">
      <c r="A547">
        <v>546</v>
      </c>
      <c r="B547" t="s">
        <v>247</v>
      </c>
      <c r="C547" t="s">
        <v>7</v>
      </c>
      <c r="D547">
        <v>3753</v>
      </c>
      <c r="E547" s="13">
        <v>2.6</v>
      </c>
      <c r="F547" s="13">
        <v>9757.7999999999993</v>
      </c>
    </row>
    <row r="548" spans="1:6" x14ac:dyDescent="0.25">
      <c r="A548">
        <v>547</v>
      </c>
      <c r="B548" t="s">
        <v>248</v>
      </c>
      <c r="C548" t="s">
        <v>13</v>
      </c>
      <c r="D548">
        <v>1818</v>
      </c>
      <c r="E548" s="13">
        <v>6.2</v>
      </c>
      <c r="F548" s="13">
        <v>11271.6</v>
      </c>
    </row>
    <row r="549" spans="1:6" x14ac:dyDescent="0.25">
      <c r="A549">
        <v>548</v>
      </c>
      <c r="B549" t="s">
        <v>249</v>
      </c>
      <c r="C549" t="s">
        <v>10</v>
      </c>
      <c r="D549">
        <v>3500</v>
      </c>
      <c r="E549" s="13">
        <v>9.5</v>
      </c>
      <c r="F549" s="13">
        <v>33250</v>
      </c>
    </row>
    <row r="550" spans="1:6" x14ac:dyDescent="0.25">
      <c r="A550">
        <v>549</v>
      </c>
      <c r="B550" t="s">
        <v>249</v>
      </c>
      <c r="C550" t="s">
        <v>8</v>
      </c>
      <c r="D550">
        <v>8290</v>
      </c>
      <c r="E550" s="13">
        <v>2.4</v>
      </c>
      <c r="F550" s="13">
        <v>19896</v>
      </c>
    </row>
    <row r="551" spans="1:6" x14ac:dyDescent="0.25">
      <c r="A551">
        <v>550</v>
      </c>
      <c r="B551" t="s">
        <v>250</v>
      </c>
      <c r="C551" t="s">
        <v>7</v>
      </c>
      <c r="D551">
        <v>4057</v>
      </c>
      <c r="E551" s="13">
        <v>2.6</v>
      </c>
      <c r="F551" s="13">
        <v>10548.2</v>
      </c>
    </row>
    <row r="552" spans="1:6" x14ac:dyDescent="0.25">
      <c r="A552">
        <v>551</v>
      </c>
      <c r="B552" t="s">
        <v>250</v>
      </c>
      <c r="C552" t="s">
        <v>10</v>
      </c>
      <c r="D552">
        <v>3692</v>
      </c>
      <c r="E552" s="13">
        <v>9.5</v>
      </c>
      <c r="F552" s="13">
        <v>35074</v>
      </c>
    </row>
    <row r="553" spans="1:6" x14ac:dyDescent="0.25">
      <c r="A553">
        <v>552</v>
      </c>
      <c r="B553" t="s">
        <v>251</v>
      </c>
      <c r="C553" t="s">
        <v>7</v>
      </c>
      <c r="D553">
        <v>1851</v>
      </c>
      <c r="E553" s="13">
        <v>2.6</v>
      </c>
      <c r="F553" s="13">
        <v>4812.6000000000004</v>
      </c>
    </row>
    <row r="554" spans="1:6" x14ac:dyDescent="0.25">
      <c r="A554">
        <v>553</v>
      </c>
      <c r="B554" t="s">
        <v>251</v>
      </c>
      <c r="C554" t="s">
        <v>10</v>
      </c>
      <c r="D554">
        <v>1433</v>
      </c>
      <c r="E554" s="13">
        <v>9.5</v>
      </c>
      <c r="F554" s="13">
        <v>13613.5</v>
      </c>
    </row>
    <row r="555" spans="1:6" x14ac:dyDescent="0.25">
      <c r="A555">
        <v>554</v>
      </c>
      <c r="B555" t="s">
        <v>251</v>
      </c>
      <c r="C555" t="s">
        <v>13</v>
      </c>
      <c r="D555">
        <v>1440</v>
      </c>
      <c r="E555" s="13">
        <v>6.2</v>
      </c>
      <c r="F555" s="13">
        <v>8928</v>
      </c>
    </row>
    <row r="556" spans="1:6" x14ac:dyDescent="0.25">
      <c r="A556">
        <v>555</v>
      </c>
      <c r="B556" t="s">
        <v>251</v>
      </c>
      <c r="C556" t="s">
        <v>8</v>
      </c>
      <c r="D556">
        <v>2369</v>
      </c>
      <c r="E556" s="13">
        <v>2.4</v>
      </c>
      <c r="F556" s="13">
        <v>5685.6</v>
      </c>
    </row>
    <row r="557" spans="1:6" x14ac:dyDescent="0.25">
      <c r="A557">
        <v>556</v>
      </c>
      <c r="B557" t="s">
        <v>252</v>
      </c>
      <c r="C557" t="s">
        <v>7</v>
      </c>
      <c r="D557">
        <v>5059</v>
      </c>
      <c r="E557" s="13">
        <v>2.6</v>
      </c>
      <c r="F557" s="13">
        <v>13153.4</v>
      </c>
    </row>
    <row r="558" spans="1:6" x14ac:dyDescent="0.25">
      <c r="A558">
        <v>557</v>
      </c>
      <c r="B558" t="s">
        <v>252</v>
      </c>
      <c r="C558" t="s">
        <v>9</v>
      </c>
      <c r="D558">
        <v>454</v>
      </c>
      <c r="E558" s="13">
        <v>79.900000000000006</v>
      </c>
      <c r="F558" s="13">
        <v>36274.6</v>
      </c>
    </row>
    <row r="559" spans="1:6" x14ac:dyDescent="0.25">
      <c r="A559">
        <v>558</v>
      </c>
      <c r="B559" t="s">
        <v>252</v>
      </c>
      <c r="C559" t="s">
        <v>10</v>
      </c>
      <c r="D559">
        <v>204</v>
      </c>
      <c r="E559" s="13">
        <v>9.5</v>
      </c>
      <c r="F559" s="13">
        <v>1938</v>
      </c>
    </row>
    <row r="560" spans="1:6" x14ac:dyDescent="0.25">
      <c r="A560">
        <v>559</v>
      </c>
      <c r="B560" t="s">
        <v>253</v>
      </c>
      <c r="C560" t="s">
        <v>13</v>
      </c>
      <c r="D560">
        <v>556</v>
      </c>
      <c r="E560" s="13">
        <v>6.2</v>
      </c>
      <c r="F560" s="13">
        <v>3447.2</v>
      </c>
    </row>
    <row r="561" spans="1:6" x14ac:dyDescent="0.25">
      <c r="A561">
        <v>560</v>
      </c>
      <c r="B561" t="s">
        <v>253</v>
      </c>
      <c r="C561" t="s">
        <v>10</v>
      </c>
      <c r="D561">
        <v>1932</v>
      </c>
      <c r="E561" s="13">
        <v>9.5</v>
      </c>
      <c r="F561" s="13">
        <v>18354</v>
      </c>
    </row>
    <row r="562" spans="1:6" x14ac:dyDescent="0.25">
      <c r="A562">
        <v>561</v>
      </c>
      <c r="B562" t="s">
        <v>253</v>
      </c>
      <c r="C562" t="s">
        <v>7</v>
      </c>
      <c r="D562">
        <v>1566</v>
      </c>
      <c r="E562" s="13">
        <v>2.6</v>
      </c>
      <c r="F562" s="13">
        <v>4071.6</v>
      </c>
    </row>
    <row r="563" spans="1:6" x14ac:dyDescent="0.25">
      <c r="A563">
        <v>562</v>
      </c>
      <c r="B563" t="s">
        <v>253</v>
      </c>
      <c r="C563" t="s">
        <v>8</v>
      </c>
      <c r="D563">
        <v>5214</v>
      </c>
      <c r="E563" s="13">
        <v>2.4</v>
      </c>
      <c r="F563" s="13">
        <v>12513.6</v>
      </c>
    </row>
    <row r="564" spans="1:6" x14ac:dyDescent="0.25">
      <c r="A564">
        <v>563</v>
      </c>
      <c r="B564" t="s">
        <v>254</v>
      </c>
      <c r="C564" t="s">
        <v>9</v>
      </c>
      <c r="D564">
        <v>17</v>
      </c>
      <c r="E564" s="13">
        <v>79.900000000000006</v>
      </c>
      <c r="F564" s="13">
        <v>1358.3</v>
      </c>
    </row>
    <row r="565" spans="1:6" x14ac:dyDescent="0.25">
      <c r="A565">
        <v>564</v>
      </c>
      <c r="B565" t="s">
        <v>254</v>
      </c>
      <c r="C565" t="s">
        <v>7</v>
      </c>
      <c r="D565">
        <v>9056</v>
      </c>
      <c r="E565" s="13">
        <v>2.6</v>
      </c>
      <c r="F565" s="13">
        <v>23545.599999999999</v>
      </c>
    </row>
    <row r="566" spans="1:6" x14ac:dyDescent="0.25">
      <c r="A566">
        <v>565</v>
      </c>
      <c r="B566" t="s">
        <v>254</v>
      </c>
      <c r="C566" t="s">
        <v>10</v>
      </c>
      <c r="D566">
        <v>3402</v>
      </c>
      <c r="E566" s="13">
        <v>9.5</v>
      </c>
      <c r="F566" s="13">
        <v>32319</v>
      </c>
    </row>
    <row r="567" spans="1:6" x14ac:dyDescent="0.25">
      <c r="A567">
        <v>566</v>
      </c>
      <c r="B567" t="s">
        <v>255</v>
      </c>
      <c r="C567" t="s">
        <v>13</v>
      </c>
      <c r="D567">
        <v>185</v>
      </c>
      <c r="E567" s="13">
        <v>6.2</v>
      </c>
      <c r="F567" s="13">
        <v>1147</v>
      </c>
    </row>
    <row r="568" spans="1:6" x14ac:dyDescent="0.25">
      <c r="A568">
        <v>567</v>
      </c>
      <c r="B568" t="s">
        <v>255</v>
      </c>
      <c r="C568" t="s">
        <v>7</v>
      </c>
      <c r="D568">
        <v>6616</v>
      </c>
      <c r="E568" s="13">
        <v>2.6</v>
      </c>
      <c r="F568" s="13">
        <v>17201.599999999999</v>
      </c>
    </row>
    <row r="569" spans="1:6" x14ac:dyDescent="0.25">
      <c r="A569">
        <v>568</v>
      </c>
      <c r="B569" t="s">
        <v>256</v>
      </c>
      <c r="C569" t="s">
        <v>7</v>
      </c>
      <c r="D569">
        <v>2169</v>
      </c>
      <c r="E569" s="13">
        <v>2.6</v>
      </c>
      <c r="F569" s="13">
        <v>5639.4</v>
      </c>
    </row>
    <row r="570" spans="1:6" x14ac:dyDescent="0.25">
      <c r="A570">
        <v>569</v>
      </c>
      <c r="B570" t="s">
        <v>257</v>
      </c>
      <c r="C570" t="s">
        <v>13</v>
      </c>
      <c r="D570">
        <v>2935</v>
      </c>
      <c r="E570" s="13">
        <v>6.2</v>
      </c>
      <c r="F570" s="13">
        <v>18197</v>
      </c>
    </row>
    <row r="571" spans="1:6" x14ac:dyDescent="0.25">
      <c r="A571">
        <v>570</v>
      </c>
      <c r="B571" t="s">
        <v>258</v>
      </c>
      <c r="C571" t="s">
        <v>10</v>
      </c>
      <c r="D571">
        <v>3777</v>
      </c>
      <c r="E571" s="13">
        <v>9.5</v>
      </c>
      <c r="F571" s="13">
        <v>35881.5</v>
      </c>
    </row>
    <row r="572" spans="1:6" x14ac:dyDescent="0.25">
      <c r="A572">
        <v>571</v>
      </c>
      <c r="B572" t="s">
        <v>259</v>
      </c>
      <c r="C572" t="s">
        <v>10</v>
      </c>
      <c r="D572">
        <v>1389</v>
      </c>
      <c r="E572" s="13">
        <v>9.5</v>
      </c>
      <c r="F572" s="13">
        <v>13195.5</v>
      </c>
    </row>
    <row r="573" spans="1:6" x14ac:dyDescent="0.25">
      <c r="A573">
        <v>572</v>
      </c>
      <c r="B573" t="s">
        <v>260</v>
      </c>
      <c r="C573" t="s">
        <v>9</v>
      </c>
      <c r="D573">
        <v>401</v>
      </c>
      <c r="E573" s="13">
        <v>79.900000000000006</v>
      </c>
      <c r="F573" s="13">
        <v>32039.9</v>
      </c>
    </row>
    <row r="574" spans="1:6" x14ac:dyDescent="0.25">
      <c r="A574">
        <v>573</v>
      </c>
      <c r="B574" t="s">
        <v>260</v>
      </c>
      <c r="C574" t="s">
        <v>8</v>
      </c>
      <c r="D574">
        <v>1558</v>
      </c>
      <c r="E574" s="13">
        <v>2.4</v>
      </c>
      <c r="F574" s="13">
        <v>3739.2</v>
      </c>
    </row>
    <row r="575" spans="1:6" x14ac:dyDescent="0.25">
      <c r="A575">
        <v>574</v>
      </c>
      <c r="B575" t="s">
        <v>261</v>
      </c>
      <c r="C575" t="s">
        <v>13</v>
      </c>
      <c r="D575">
        <v>370</v>
      </c>
      <c r="E575" s="13">
        <v>6.2</v>
      </c>
      <c r="F575" s="13">
        <v>2294</v>
      </c>
    </row>
    <row r="576" spans="1:6" x14ac:dyDescent="0.25">
      <c r="A576">
        <v>575</v>
      </c>
      <c r="B576" t="s">
        <v>261</v>
      </c>
      <c r="C576" t="s">
        <v>8</v>
      </c>
      <c r="D576">
        <v>7458</v>
      </c>
      <c r="E576" s="13">
        <v>2.4</v>
      </c>
      <c r="F576" s="13">
        <v>17899.2</v>
      </c>
    </row>
    <row r="577" spans="1:6" x14ac:dyDescent="0.25">
      <c r="A577">
        <v>576</v>
      </c>
      <c r="B577" t="s">
        <v>262</v>
      </c>
      <c r="C577" t="s">
        <v>9</v>
      </c>
      <c r="D577">
        <v>293</v>
      </c>
      <c r="E577" s="13">
        <v>79.900000000000006</v>
      </c>
      <c r="F577" s="13">
        <v>23410.7</v>
      </c>
    </row>
    <row r="578" spans="1:6" x14ac:dyDescent="0.25">
      <c r="A578">
        <v>577</v>
      </c>
      <c r="B578" t="s">
        <v>263</v>
      </c>
      <c r="C578" t="s">
        <v>7</v>
      </c>
      <c r="D578">
        <v>9666</v>
      </c>
      <c r="E578" s="13">
        <v>2.6</v>
      </c>
      <c r="F578" s="13">
        <v>25131.599999999999</v>
      </c>
    </row>
    <row r="579" spans="1:6" x14ac:dyDescent="0.25">
      <c r="A579">
        <v>578</v>
      </c>
      <c r="B579" t="s">
        <v>263</v>
      </c>
      <c r="C579" t="s">
        <v>9</v>
      </c>
      <c r="D579">
        <v>320</v>
      </c>
      <c r="E579" s="13">
        <v>79.900000000000006</v>
      </c>
      <c r="F579" s="13">
        <v>25568</v>
      </c>
    </row>
    <row r="580" spans="1:6" x14ac:dyDescent="0.25">
      <c r="A580">
        <v>579</v>
      </c>
      <c r="B580" t="s">
        <v>264</v>
      </c>
      <c r="C580" t="s">
        <v>13</v>
      </c>
      <c r="D580">
        <v>468</v>
      </c>
      <c r="E580" s="13">
        <v>6.2</v>
      </c>
      <c r="F580" s="13">
        <v>2901.6</v>
      </c>
    </row>
    <row r="581" spans="1:6" x14ac:dyDescent="0.25">
      <c r="A581">
        <v>580</v>
      </c>
      <c r="B581" t="s">
        <v>264</v>
      </c>
      <c r="C581" t="s">
        <v>7</v>
      </c>
      <c r="D581">
        <v>681</v>
      </c>
      <c r="E581" s="13">
        <v>2.6</v>
      </c>
      <c r="F581" s="13">
        <v>1770.6</v>
      </c>
    </row>
    <row r="582" spans="1:6" x14ac:dyDescent="0.25">
      <c r="A582">
        <v>581</v>
      </c>
      <c r="B582" t="s">
        <v>264</v>
      </c>
      <c r="C582" t="s">
        <v>8</v>
      </c>
      <c r="D582">
        <v>901</v>
      </c>
      <c r="E582" s="13">
        <v>2.4</v>
      </c>
      <c r="F582" s="13">
        <v>2162.4</v>
      </c>
    </row>
    <row r="583" spans="1:6" x14ac:dyDescent="0.25">
      <c r="A583">
        <v>582</v>
      </c>
      <c r="B583" t="s">
        <v>265</v>
      </c>
      <c r="C583" t="s">
        <v>10</v>
      </c>
      <c r="D583">
        <v>3175</v>
      </c>
      <c r="E583" s="13">
        <v>9.5</v>
      </c>
      <c r="F583" s="13">
        <v>30162.5</v>
      </c>
    </row>
    <row r="584" spans="1:6" x14ac:dyDescent="0.25">
      <c r="A584">
        <v>583</v>
      </c>
      <c r="B584" t="s">
        <v>265</v>
      </c>
      <c r="C584" t="s">
        <v>13</v>
      </c>
      <c r="D584">
        <v>2379</v>
      </c>
      <c r="E584" s="13">
        <v>6.2</v>
      </c>
      <c r="F584" s="13">
        <v>14749.8</v>
      </c>
    </row>
    <row r="585" spans="1:6" x14ac:dyDescent="0.25">
      <c r="A585">
        <v>584</v>
      </c>
      <c r="B585" t="s">
        <v>266</v>
      </c>
      <c r="C585" t="s">
        <v>10</v>
      </c>
      <c r="D585">
        <v>1572</v>
      </c>
      <c r="E585" s="13">
        <v>9.5</v>
      </c>
      <c r="F585" s="13">
        <v>14934</v>
      </c>
    </row>
    <row r="586" spans="1:6" x14ac:dyDescent="0.25">
      <c r="A586">
        <v>585</v>
      </c>
      <c r="B586" t="s">
        <v>266</v>
      </c>
      <c r="C586" t="s">
        <v>9</v>
      </c>
      <c r="D586">
        <v>92</v>
      </c>
      <c r="E586" s="13">
        <v>79.900000000000006</v>
      </c>
      <c r="F586" s="13">
        <v>7350.8</v>
      </c>
    </row>
    <row r="587" spans="1:6" x14ac:dyDescent="0.25">
      <c r="A587">
        <v>586</v>
      </c>
      <c r="B587" t="s">
        <v>267</v>
      </c>
      <c r="C587" t="s">
        <v>9</v>
      </c>
      <c r="D587">
        <v>39</v>
      </c>
      <c r="E587" s="13">
        <v>79.900000000000006</v>
      </c>
      <c r="F587" s="13">
        <v>3116.1</v>
      </c>
    </row>
    <row r="588" spans="1:6" x14ac:dyDescent="0.25">
      <c r="A588">
        <v>587</v>
      </c>
      <c r="B588" t="s">
        <v>268</v>
      </c>
      <c r="C588" t="s">
        <v>13</v>
      </c>
      <c r="D588">
        <v>5622</v>
      </c>
      <c r="E588" s="13">
        <v>6.2</v>
      </c>
      <c r="F588" s="13">
        <v>34856.400000000001</v>
      </c>
    </row>
    <row r="589" spans="1:6" x14ac:dyDescent="0.25">
      <c r="A589">
        <v>588</v>
      </c>
      <c r="B589" t="s">
        <v>268</v>
      </c>
      <c r="C589" t="s">
        <v>9</v>
      </c>
      <c r="D589">
        <v>135</v>
      </c>
      <c r="E589" s="13">
        <v>79.900000000000006</v>
      </c>
      <c r="F589" s="13">
        <v>10786.5</v>
      </c>
    </row>
    <row r="590" spans="1:6" x14ac:dyDescent="0.25">
      <c r="A590">
        <v>589</v>
      </c>
      <c r="B590" t="s">
        <v>269</v>
      </c>
      <c r="C590" t="s">
        <v>8</v>
      </c>
      <c r="D590">
        <v>7987</v>
      </c>
      <c r="E590" s="13">
        <v>2.4</v>
      </c>
      <c r="F590" s="13">
        <v>19168.8</v>
      </c>
    </row>
    <row r="591" spans="1:6" x14ac:dyDescent="0.25">
      <c r="A591">
        <v>590</v>
      </c>
      <c r="B591" t="s">
        <v>269</v>
      </c>
      <c r="C591" t="s">
        <v>7</v>
      </c>
      <c r="D591">
        <v>273</v>
      </c>
      <c r="E591" s="13">
        <v>2.6</v>
      </c>
      <c r="F591" s="13">
        <v>709.8</v>
      </c>
    </row>
    <row r="592" spans="1:6" x14ac:dyDescent="0.25">
      <c r="A592">
        <v>591</v>
      </c>
      <c r="B592" t="s">
        <v>269</v>
      </c>
      <c r="C592" t="s">
        <v>10</v>
      </c>
      <c r="D592">
        <v>2992</v>
      </c>
      <c r="E592" s="13">
        <v>9.5</v>
      </c>
      <c r="F592" s="13">
        <v>28424</v>
      </c>
    </row>
    <row r="593" spans="1:6" x14ac:dyDescent="0.25">
      <c r="A593">
        <v>592</v>
      </c>
      <c r="B593" t="s">
        <v>270</v>
      </c>
      <c r="C593" t="s">
        <v>7</v>
      </c>
      <c r="D593">
        <v>3910</v>
      </c>
      <c r="E593" s="13">
        <v>2.6</v>
      </c>
      <c r="F593" s="13">
        <v>10166</v>
      </c>
    </row>
    <row r="594" spans="1:6" x14ac:dyDescent="0.25">
      <c r="A594">
        <v>593</v>
      </c>
      <c r="B594" t="s">
        <v>270</v>
      </c>
      <c r="C594" t="s">
        <v>8</v>
      </c>
      <c r="D594">
        <v>2095</v>
      </c>
      <c r="E594" s="13">
        <v>2.4</v>
      </c>
      <c r="F594" s="13">
        <v>5028</v>
      </c>
    </row>
    <row r="595" spans="1:6" x14ac:dyDescent="0.25">
      <c r="A595">
        <v>594</v>
      </c>
      <c r="B595" t="s">
        <v>271</v>
      </c>
      <c r="C595" t="s">
        <v>7</v>
      </c>
      <c r="D595">
        <v>816</v>
      </c>
      <c r="E595" s="13">
        <v>2.6</v>
      </c>
      <c r="F595" s="13">
        <v>2121.6</v>
      </c>
    </row>
    <row r="596" spans="1:6" x14ac:dyDescent="0.25">
      <c r="A596">
        <v>595</v>
      </c>
      <c r="B596" t="s">
        <v>272</v>
      </c>
      <c r="C596" t="s">
        <v>10</v>
      </c>
      <c r="D596">
        <v>741</v>
      </c>
      <c r="E596" s="13">
        <v>9.5</v>
      </c>
      <c r="F596" s="13">
        <v>7039.5</v>
      </c>
    </row>
    <row r="597" spans="1:6" x14ac:dyDescent="0.25">
      <c r="A597">
        <v>596</v>
      </c>
      <c r="B597" t="s">
        <v>272</v>
      </c>
      <c r="C597" t="s">
        <v>7</v>
      </c>
      <c r="D597">
        <v>5804</v>
      </c>
      <c r="E597" s="13">
        <v>2.6</v>
      </c>
      <c r="F597" s="13">
        <v>15090.4</v>
      </c>
    </row>
    <row r="598" spans="1:6" x14ac:dyDescent="0.25">
      <c r="A598">
        <v>597</v>
      </c>
      <c r="B598" t="s">
        <v>272</v>
      </c>
      <c r="C598" t="s">
        <v>13</v>
      </c>
      <c r="D598">
        <v>2107</v>
      </c>
      <c r="E598" s="13">
        <v>6.2</v>
      </c>
      <c r="F598" s="13">
        <v>13063.4</v>
      </c>
    </row>
    <row r="599" spans="1:6" x14ac:dyDescent="0.25">
      <c r="A599">
        <v>598</v>
      </c>
      <c r="B599" t="s">
        <v>273</v>
      </c>
      <c r="C599" t="s">
        <v>9</v>
      </c>
      <c r="D599">
        <v>199</v>
      </c>
      <c r="E599" s="13">
        <v>79.900000000000006</v>
      </c>
      <c r="F599" s="13">
        <v>15900.1</v>
      </c>
    </row>
    <row r="600" spans="1:6" x14ac:dyDescent="0.25">
      <c r="A600">
        <v>599</v>
      </c>
      <c r="B600" t="s">
        <v>273</v>
      </c>
      <c r="C600" t="s">
        <v>10</v>
      </c>
      <c r="D600">
        <v>1093</v>
      </c>
      <c r="E600" s="13">
        <v>9.5</v>
      </c>
      <c r="F600" s="13">
        <v>10383.5</v>
      </c>
    </row>
    <row r="601" spans="1:6" x14ac:dyDescent="0.25">
      <c r="A601">
        <v>600</v>
      </c>
      <c r="B601" t="s">
        <v>273</v>
      </c>
      <c r="C601" t="s">
        <v>7</v>
      </c>
      <c r="D601">
        <v>1965</v>
      </c>
      <c r="E601" s="13">
        <v>2.6</v>
      </c>
      <c r="F601" s="13">
        <v>5109</v>
      </c>
    </row>
    <row r="602" spans="1:6" x14ac:dyDescent="0.25">
      <c r="A602">
        <v>601</v>
      </c>
      <c r="B602" t="s">
        <v>274</v>
      </c>
      <c r="C602" t="s">
        <v>10</v>
      </c>
      <c r="D602">
        <v>2862</v>
      </c>
      <c r="E602" s="13">
        <v>9.5</v>
      </c>
      <c r="F602" s="13">
        <v>27189</v>
      </c>
    </row>
    <row r="603" spans="1:6" x14ac:dyDescent="0.25">
      <c r="A603">
        <v>602</v>
      </c>
      <c r="B603" t="s">
        <v>274</v>
      </c>
      <c r="C603" t="s">
        <v>13</v>
      </c>
      <c r="D603">
        <v>3430</v>
      </c>
      <c r="E603" s="13">
        <v>6.2</v>
      </c>
      <c r="F603" s="13">
        <v>21266</v>
      </c>
    </row>
    <row r="604" spans="1:6" x14ac:dyDescent="0.25">
      <c r="A604">
        <v>603</v>
      </c>
      <c r="B604" t="s">
        <v>275</v>
      </c>
      <c r="C604" t="s">
        <v>7</v>
      </c>
      <c r="D604">
        <v>2444</v>
      </c>
      <c r="E604" s="13">
        <v>2.6</v>
      </c>
      <c r="F604" s="13">
        <v>6354.4</v>
      </c>
    </row>
    <row r="605" spans="1:6" x14ac:dyDescent="0.25">
      <c r="A605">
        <v>604</v>
      </c>
      <c r="B605" t="s">
        <v>275</v>
      </c>
      <c r="C605" t="s">
        <v>13</v>
      </c>
      <c r="D605">
        <v>23</v>
      </c>
      <c r="E605" s="13">
        <v>6.2</v>
      </c>
      <c r="F605" s="13">
        <v>142.6</v>
      </c>
    </row>
    <row r="606" spans="1:6" x14ac:dyDescent="0.25">
      <c r="A606">
        <v>605</v>
      </c>
      <c r="B606" t="s">
        <v>275</v>
      </c>
      <c r="C606" t="s">
        <v>10</v>
      </c>
      <c r="D606">
        <v>2005</v>
      </c>
      <c r="E606" s="13">
        <v>9.5</v>
      </c>
      <c r="F606" s="13">
        <v>19047.5</v>
      </c>
    </row>
    <row r="607" spans="1:6" x14ac:dyDescent="0.25">
      <c r="A607">
        <v>606</v>
      </c>
      <c r="B607" t="s">
        <v>275</v>
      </c>
      <c r="C607" t="s">
        <v>8</v>
      </c>
      <c r="D607">
        <v>2745</v>
      </c>
      <c r="E607" s="13">
        <v>2.4</v>
      </c>
      <c r="F607" s="13">
        <v>6588</v>
      </c>
    </row>
    <row r="608" spans="1:6" x14ac:dyDescent="0.25">
      <c r="A608">
        <v>607</v>
      </c>
      <c r="B608" t="s">
        <v>276</v>
      </c>
      <c r="C608" t="s">
        <v>10</v>
      </c>
      <c r="D608">
        <v>2097</v>
      </c>
      <c r="E608" s="13">
        <v>9.5</v>
      </c>
      <c r="F608" s="13">
        <v>19921.5</v>
      </c>
    </row>
    <row r="609" spans="1:6" x14ac:dyDescent="0.25">
      <c r="A609">
        <v>608</v>
      </c>
      <c r="B609" t="s">
        <v>276</v>
      </c>
      <c r="C609" t="s">
        <v>13</v>
      </c>
      <c r="D609">
        <v>1722</v>
      </c>
      <c r="E609" s="13">
        <v>6.2</v>
      </c>
      <c r="F609" s="13">
        <v>10676.4</v>
      </c>
    </row>
    <row r="610" spans="1:6" x14ac:dyDescent="0.25">
      <c r="A610">
        <v>609</v>
      </c>
      <c r="B610" t="s">
        <v>277</v>
      </c>
      <c r="C610" t="s">
        <v>13</v>
      </c>
      <c r="D610">
        <v>2334</v>
      </c>
      <c r="E610" s="13">
        <v>6.2</v>
      </c>
      <c r="F610" s="13">
        <v>14470.8</v>
      </c>
    </row>
    <row r="611" spans="1:6" x14ac:dyDescent="0.25">
      <c r="A611">
        <v>610</v>
      </c>
      <c r="B611" t="s">
        <v>277</v>
      </c>
      <c r="C611" t="s">
        <v>8</v>
      </c>
      <c r="D611">
        <v>345</v>
      </c>
      <c r="E611" s="13">
        <v>2.4</v>
      </c>
      <c r="F611" s="13">
        <v>828</v>
      </c>
    </row>
    <row r="612" spans="1:6" x14ac:dyDescent="0.25">
      <c r="A612">
        <v>611</v>
      </c>
      <c r="B612" t="s">
        <v>278</v>
      </c>
      <c r="C612" t="s">
        <v>8</v>
      </c>
      <c r="D612">
        <v>8444</v>
      </c>
      <c r="E612" s="13">
        <v>2.4</v>
      </c>
      <c r="F612" s="13">
        <v>20265.599999999999</v>
      </c>
    </row>
    <row r="613" spans="1:6" x14ac:dyDescent="0.25">
      <c r="A613">
        <v>612</v>
      </c>
      <c r="B613" t="s">
        <v>278</v>
      </c>
      <c r="C613" t="s">
        <v>13</v>
      </c>
      <c r="D613">
        <v>2479</v>
      </c>
      <c r="E613" s="13">
        <v>6.2</v>
      </c>
      <c r="F613" s="13">
        <v>15369.8</v>
      </c>
    </row>
    <row r="614" spans="1:6" x14ac:dyDescent="0.25">
      <c r="A614">
        <v>613</v>
      </c>
      <c r="B614" t="s">
        <v>278</v>
      </c>
      <c r="C614" t="s">
        <v>9</v>
      </c>
      <c r="D614">
        <v>160</v>
      </c>
      <c r="E614" s="13">
        <v>79.900000000000006</v>
      </c>
      <c r="F614" s="13">
        <v>12784</v>
      </c>
    </row>
    <row r="615" spans="1:6" x14ac:dyDescent="0.25">
      <c r="A615">
        <v>614</v>
      </c>
      <c r="B615" t="s">
        <v>278</v>
      </c>
      <c r="C615" t="s">
        <v>10</v>
      </c>
      <c r="D615">
        <v>686</v>
      </c>
      <c r="E615" s="13">
        <v>9.5</v>
      </c>
      <c r="F615" s="13">
        <v>6517</v>
      </c>
    </row>
    <row r="616" spans="1:6" x14ac:dyDescent="0.25">
      <c r="A616">
        <v>615</v>
      </c>
      <c r="B616" t="s">
        <v>279</v>
      </c>
      <c r="C616" t="s">
        <v>13</v>
      </c>
      <c r="D616">
        <v>1478</v>
      </c>
      <c r="E616" s="13">
        <v>6.2</v>
      </c>
      <c r="F616" s="13">
        <v>9163.6</v>
      </c>
    </row>
    <row r="617" spans="1:6" x14ac:dyDescent="0.25">
      <c r="A617">
        <v>616</v>
      </c>
      <c r="B617" t="s">
        <v>280</v>
      </c>
      <c r="C617" t="s">
        <v>7</v>
      </c>
      <c r="D617">
        <v>2939</v>
      </c>
      <c r="E617" s="13">
        <v>2.6</v>
      </c>
      <c r="F617" s="13">
        <v>7641.4</v>
      </c>
    </row>
    <row r="618" spans="1:6" x14ac:dyDescent="0.25">
      <c r="A618">
        <v>617</v>
      </c>
      <c r="B618" t="s">
        <v>281</v>
      </c>
      <c r="C618" t="s">
        <v>7</v>
      </c>
      <c r="D618">
        <v>1540</v>
      </c>
      <c r="E618" s="13">
        <v>2.6</v>
      </c>
      <c r="F618" s="13">
        <v>4004</v>
      </c>
    </row>
    <row r="619" spans="1:6" x14ac:dyDescent="0.25">
      <c r="A619">
        <v>618</v>
      </c>
      <c r="B619" t="s">
        <v>281</v>
      </c>
      <c r="C619" t="s">
        <v>8</v>
      </c>
      <c r="D619">
        <v>2749</v>
      </c>
      <c r="E619" s="13">
        <v>2.4</v>
      </c>
      <c r="F619" s="13">
        <v>6597.6</v>
      </c>
    </row>
    <row r="620" spans="1:6" x14ac:dyDescent="0.25">
      <c r="A620">
        <v>619</v>
      </c>
      <c r="B620" t="s">
        <v>282</v>
      </c>
      <c r="C620" t="s">
        <v>10</v>
      </c>
      <c r="D620">
        <v>2931</v>
      </c>
      <c r="E620" s="13">
        <v>9.5</v>
      </c>
      <c r="F620" s="13">
        <v>27844.5</v>
      </c>
    </row>
    <row r="621" spans="1:6" x14ac:dyDescent="0.25">
      <c r="A621">
        <v>620</v>
      </c>
      <c r="B621" t="s">
        <v>283</v>
      </c>
      <c r="C621" t="s">
        <v>10</v>
      </c>
      <c r="D621">
        <v>641</v>
      </c>
      <c r="E621" s="13">
        <v>9.5</v>
      </c>
      <c r="F621" s="13">
        <v>6089.5</v>
      </c>
    </row>
    <row r="622" spans="1:6" x14ac:dyDescent="0.25">
      <c r="A622">
        <v>621</v>
      </c>
      <c r="B622" t="s">
        <v>283</v>
      </c>
      <c r="C622" t="s">
        <v>13</v>
      </c>
      <c r="D622">
        <v>5020</v>
      </c>
      <c r="E622" s="13">
        <v>6.2</v>
      </c>
      <c r="F622" s="13">
        <v>31124</v>
      </c>
    </row>
    <row r="623" spans="1:6" x14ac:dyDescent="0.25">
      <c r="A623">
        <v>622</v>
      </c>
      <c r="B623" t="s">
        <v>283</v>
      </c>
      <c r="C623" t="s">
        <v>7</v>
      </c>
      <c r="D623">
        <v>935</v>
      </c>
      <c r="E623" s="13">
        <v>2.6</v>
      </c>
      <c r="F623" s="13">
        <v>2431</v>
      </c>
    </row>
    <row r="624" spans="1:6" x14ac:dyDescent="0.25">
      <c r="A624">
        <v>623</v>
      </c>
      <c r="B624" t="s">
        <v>284</v>
      </c>
      <c r="C624" t="s">
        <v>7</v>
      </c>
      <c r="D624">
        <v>6301</v>
      </c>
      <c r="E624" s="13">
        <v>2.6</v>
      </c>
      <c r="F624" s="13">
        <v>16382.6</v>
      </c>
    </row>
    <row r="625" spans="1:6" x14ac:dyDescent="0.25">
      <c r="A625">
        <v>624</v>
      </c>
      <c r="B625" t="s">
        <v>284</v>
      </c>
      <c r="C625" t="s">
        <v>8</v>
      </c>
      <c r="D625">
        <v>1389</v>
      </c>
      <c r="E625" s="13">
        <v>2.4</v>
      </c>
      <c r="F625" s="13">
        <v>3333.6</v>
      </c>
    </row>
    <row r="626" spans="1:6" x14ac:dyDescent="0.25">
      <c r="A626">
        <v>625</v>
      </c>
      <c r="B626" t="s">
        <v>284</v>
      </c>
      <c r="C626" t="s">
        <v>9</v>
      </c>
      <c r="D626">
        <v>57</v>
      </c>
      <c r="E626" s="13">
        <v>79.900000000000006</v>
      </c>
      <c r="F626" s="13">
        <v>4554.3</v>
      </c>
    </row>
    <row r="627" spans="1:6" x14ac:dyDescent="0.25">
      <c r="A627">
        <v>626</v>
      </c>
      <c r="B627" t="s">
        <v>284</v>
      </c>
      <c r="C627" t="s">
        <v>13</v>
      </c>
      <c r="D627">
        <v>5348</v>
      </c>
      <c r="E627" s="13">
        <v>6.2</v>
      </c>
      <c r="F627" s="13">
        <v>33157.599999999999</v>
      </c>
    </row>
    <row r="628" spans="1:6" x14ac:dyDescent="0.25">
      <c r="A628">
        <v>627</v>
      </c>
      <c r="B628" t="s">
        <v>284</v>
      </c>
      <c r="C628" t="s">
        <v>10</v>
      </c>
      <c r="D628">
        <v>32</v>
      </c>
      <c r="E628" s="13">
        <v>9.5</v>
      </c>
      <c r="F628" s="13">
        <v>304</v>
      </c>
    </row>
    <row r="629" spans="1:6" x14ac:dyDescent="0.25">
      <c r="A629">
        <v>628</v>
      </c>
      <c r="B629" t="s">
        <v>285</v>
      </c>
      <c r="C629" t="s">
        <v>13</v>
      </c>
      <c r="D629">
        <v>876</v>
      </c>
      <c r="E629" s="13">
        <v>6.2</v>
      </c>
      <c r="F629" s="13">
        <v>5431.2</v>
      </c>
    </row>
    <row r="630" spans="1:6" x14ac:dyDescent="0.25">
      <c r="A630">
        <v>629</v>
      </c>
      <c r="B630" t="s">
        <v>285</v>
      </c>
      <c r="C630" t="s">
        <v>8</v>
      </c>
      <c r="D630">
        <v>6094</v>
      </c>
      <c r="E630" s="13">
        <v>2.4</v>
      </c>
      <c r="F630" s="13">
        <v>14625.6</v>
      </c>
    </row>
    <row r="631" spans="1:6" x14ac:dyDescent="0.25">
      <c r="A631">
        <v>630</v>
      </c>
      <c r="B631" t="s">
        <v>286</v>
      </c>
      <c r="C631" t="s">
        <v>7</v>
      </c>
      <c r="D631">
        <v>9431</v>
      </c>
      <c r="E631" s="13">
        <v>2.6</v>
      </c>
      <c r="F631" s="13">
        <v>24520.6</v>
      </c>
    </row>
    <row r="632" spans="1:6" x14ac:dyDescent="0.25">
      <c r="A632">
        <v>631</v>
      </c>
      <c r="B632" t="s">
        <v>287</v>
      </c>
      <c r="C632" t="s">
        <v>7</v>
      </c>
      <c r="D632">
        <v>3532</v>
      </c>
      <c r="E632" s="13">
        <v>2.6</v>
      </c>
      <c r="F632" s="13">
        <v>9183.2000000000007</v>
      </c>
    </row>
    <row r="633" spans="1:6" x14ac:dyDescent="0.25">
      <c r="A633">
        <v>632</v>
      </c>
      <c r="B633" t="s">
        <v>287</v>
      </c>
      <c r="C633" t="s">
        <v>10</v>
      </c>
      <c r="D633">
        <v>941</v>
      </c>
      <c r="E633" s="13">
        <v>9.5</v>
      </c>
      <c r="F633" s="13">
        <v>8939.5</v>
      </c>
    </row>
    <row r="634" spans="1:6" x14ac:dyDescent="0.25">
      <c r="A634">
        <v>633</v>
      </c>
      <c r="B634" t="s">
        <v>288</v>
      </c>
      <c r="C634" t="s">
        <v>9</v>
      </c>
      <c r="D634">
        <v>173</v>
      </c>
      <c r="E634" s="13">
        <v>79.900000000000006</v>
      </c>
      <c r="F634" s="13">
        <v>13822.7</v>
      </c>
    </row>
    <row r="635" spans="1:6" x14ac:dyDescent="0.25">
      <c r="A635">
        <v>634</v>
      </c>
      <c r="B635" t="s">
        <v>288</v>
      </c>
      <c r="C635" t="s">
        <v>13</v>
      </c>
      <c r="D635">
        <v>985</v>
      </c>
      <c r="E635" s="13">
        <v>6.2</v>
      </c>
      <c r="F635" s="13">
        <v>6107</v>
      </c>
    </row>
    <row r="636" spans="1:6" x14ac:dyDescent="0.25">
      <c r="A636">
        <v>635</v>
      </c>
      <c r="B636" t="s">
        <v>288</v>
      </c>
      <c r="C636" t="s">
        <v>10</v>
      </c>
      <c r="D636">
        <v>1496</v>
      </c>
      <c r="E636" s="13">
        <v>9.5</v>
      </c>
      <c r="F636" s="13">
        <v>14212</v>
      </c>
    </row>
    <row r="637" spans="1:6" x14ac:dyDescent="0.25">
      <c r="A637">
        <v>636</v>
      </c>
      <c r="B637" t="s">
        <v>288</v>
      </c>
      <c r="C637" t="s">
        <v>8</v>
      </c>
      <c r="D637">
        <v>4317</v>
      </c>
      <c r="E637" s="13">
        <v>2.4</v>
      </c>
      <c r="F637" s="13">
        <v>10360.799999999999</v>
      </c>
    </row>
    <row r="638" spans="1:6" x14ac:dyDescent="0.25">
      <c r="A638">
        <v>637</v>
      </c>
      <c r="B638" t="s">
        <v>289</v>
      </c>
      <c r="C638" t="s">
        <v>9</v>
      </c>
      <c r="D638">
        <v>358</v>
      </c>
      <c r="E638" s="13">
        <v>79.900000000000006</v>
      </c>
      <c r="F638" s="13">
        <v>28604.2</v>
      </c>
    </row>
    <row r="639" spans="1:6" x14ac:dyDescent="0.25">
      <c r="A639">
        <v>638</v>
      </c>
      <c r="B639" t="s">
        <v>289</v>
      </c>
      <c r="C639" t="s">
        <v>7</v>
      </c>
      <c r="D639">
        <v>1686</v>
      </c>
      <c r="E639" s="13">
        <v>2.6</v>
      </c>
      <c r="F639" s="13">
        <v>4383.6000000000004</v>
      </c>
    </row>
    <row r="640" spans="1:6" x14ac:dyDescent="0.25">
      <c r="A640">
        <v>639</v>
      </c>
      <c r="B640" t="s">
        <v>290</v>
      </c>
      <c r="C640" t="s">
        <v>9</v>
      </c>
      <c r="D640">
        <v>226</v>
      </c>
      <c r="E640" s="13">
        <v>79.900000000000006</v>
      </c>
      <c r="F640" s="13">
        <v>18057.400000000001</v>
      </c>
    </row>
    <row r="641" spans="1:6" x14ac:dyDescent="0.25">
      <c r="A641">
        <v>640</v>
      </c>
      <c r="B641" t="s">
        <v>290</v>
      </c>
      <c r="C641" t="s">
        <v>7</v>
      </c>
      <c r="D641">
        <v>2840</v>
      </c>
      <c r="E641" s="13">
        <v>2.6</v>
      </c>
      <c r="F641" s="13">
        <v>7384</v>
      </c>
    </row>
    <row r="642" spans="1:6" x14ac:dyDescent="0.25">
      <c r="A642">
        <v>641</v>
      </c>
      <c r="B642" t="s">
        <v>291</v>
      </c>
      <c r="C642" t="s">
        <v>7</v>
      </c>
      <c r="D642">
        <v>1011</v>
      </c>
      <c r="E642" s="13">
        <v>2.6</v>
      </c>
      <c r="F642" s="13">
        <v>2628.6</v>
      </c>
    </row>
    <row r="643" spans="1:6" x14ac:dyDescent="0.25">
      <c r="A643">
        <v>642</v>
      </c>
      <c r="B643" t="s">
        <v>291</v>
      </c>
      <c r="C643" t="s">
        <v>8</v>
      </c>
      <c r="D643">
        <v>7282</v>
      </c>
      <c r="E643" s="13">
        <v>2.4</v>
      </c>
      <c r="F643" s="13">
        <v>17476.8</v>
      </c>
    </row>
    <row r="644" spans="1:6" x14ac:dyDescent="0.25">
      <c r="A644">
        <v>643</v>
      </c>
      <c r="B644" t="s">
        <v>291</v>
      </c>
      <c r="C644" t="s">
        <v>9</v>
      </c>
      <c r="D644">
        <v>62</v>
      </c>
      <c r="E644" s="13">
        <v>79.900000000000006</v>
      </c>
      <c r="F644" s="13">
        <v>4953.8</v>
      </c>
    </row>
    <row r="645" spans="1:6" x14ac:dyDescent="0.25">
      <c r="A645">
        <v>644</v>
      </c>
      <c r="B645" t="s">
        <v>291</v>
      </c>
      <c r="C645" t="s">
        <v>13</v>
      </c>
      <c r="D645">
        <v>4909</v>
      </c>
      <c r="E645" s="13">
        <v>6.2</v>
      </c>
      <c r="F645" s="13">
        <v>30435.8</v>
      </c>
    </row>
    <row r="646" spans="1:6" x14ac:dyDescent="0.25">
      <c r="A646">
        <v>645</v>
      </c>
      <c r="B646" t="s">
        <v>292</v>
      </c>
      <c r="C646" t="s">
        <v>10</v>
      </c>
      <c r="D646">
        <v>319</v>
      </c>
      <c r="E646" s="13">
        <v>9.5</v>
      </c>
      <c r="F646" s="13">
        <v>3030.5</v>
      </c>
    </row>
    <row r="647" spans="1:6" x14ac:dyDescent="0.25">
      <c r="A647">
        <v>646</v>
      </c>
      <c r="B647" t="s">
        <v>292</v>
      </c>
      <c r="C647" t="s">
        <v>13</v>
      </c>
      <c r="D647">
        <v>1183</v>
      </c>
      <c r="E647" s="13">
        <v>6.2</v>
      </c>
      <c r="F647" s="13">
        <v>7334.6</v>
      </c>
    </row>
    <row r="648" spans="1:6" x14ac:dyDescent="0.25">
      <c r="A648">
        <v>647</v>
      </c>
      <c r="B648" t="s">
        <v>292</v>
      </c>
      <c r="C648" t="s">
        <v>8</v>
      </c>
      <c r="D648">
        <v>56</v>
      </c>
      <c r="E648" s="13">
        <v>2.4</v>
      </c>
      <c r="F648" s="13">
        <v>134.4</v>
      </c>
    </row>
    <row r="649" spans="1:6" x14ac:dyDescent="0.25">
      <c r="A649">
        <v>648</v>
      </c>
      <c r="B649" t="s">
        <v>292</v>
      </c>
      <c r="C649" t="s">
        <v>7</v>
      </c>
      <c r="D649">
        <v>3644</v>
      </c>
      <c r="E649" s="13">
        <v>2.6</v>
      </c>
      <c r="F649" s="13">
        <v>9474.4</v>
      </c>
    </row>
    <row r="650" spans="1:6" x14ac:dyDescent="0.25">
      <c r="A650">
        <v>649</v>
      </c>
      <c r="B650" t="s">
        <v>293</v>
      </c>
      <c r="C650" t="s">
        <v>7</v>
      </c>
      <c r="D650">
        <v>672</v>
      </c>
      <c r="E650" s="13">
        <v>2.6</v>
      </c>
      <c r="F650" s="13">
        <v>1747.2</v>
      </c>
    </row>
    <row r="651" spans="1:6" x14ac:dyDescent="0.25">
      <c r="A651">
        <v>650</v>
      </c>
      <c r="B651" t="s">
        <v>293</v>
      </c>
      <c r="C651" t="s">
        <v>13</v>
      </c>
      <c r="D651">
        <v>2097</v>
      </c>
      <c r="E651" s="13">
        <v>6.2</v>
      </c>
      <c r="F651" s="13">
        <v>13001.4</v>
      </c>
    </row>
    <row r="652" spans="1:6" x14ac:dyDescent="0.25">
      <c r="A652">
        <v>651</v>
      </c>
      <c r="B652" t="s">
        <v>294</v>
      </c>
      <c r="C652" t="s">
        <v>9</v>
      </c>
      <c r="D652">
        <v>375</v>
      </c>
      <c r="E652" s="13">
        <v>79.900000000000006</v>
      </c>
      <c r="F652" s="13">
        <v>29962.5</v>
      </c>
    </row>
    <row r="653" spans="1:6" x14ac:dyDescent="0.25">
      <c r="A653">
        <v>652</v>
      </c>
      <c r="B653" t="s">
        <v>294</v>
      </c>
      <c r="C653" t="s">
        <v>7</v>
      </c>
      <c r="D653">
        <v>1714</v>
      </c>
      <c r="E653" s="13">
        <v>2.6</v>
      </c>
      <c r="F653" s="13">
        <v>4456.3999999999996</v>
      </c>
    </row>
    <row r="654" spans="1:6" x14ac:dyDescent="0.25">
      <c r="A654">
        <v>653</v>
      </c>
      <c r="B654" t="s">
        <v>294</v>
      </c>
      <c r="C654" t="s">
        <v>10</v>
      </c>
      <c r="D654">
        <v>1427</v>
      </c>
      <c r="E654" s="13">
        <v>9.5</v>
      </c>
      <c r="F654" s="13">
        <v>13556.5</v>
      </c>
    </row>
    <row r="655" spans="1:6" x14ac:dyDescent="0.25">
      <c r="A655">
        <v>654</v>
      </c>
      <c r="B655" t="s">
        <v>295</v>
      </c>
      <c r="C655" t="s">
        <v>10</v>
      </c>
      <c r="D655">
        <v>288</v>
      </c>
      <c r="E655" s="13">
        <v>9.5</v>
      </c>
      <c r="F655" s="13">
        <v>2736</v>
      </c>
    </row>
    <row r="656" spans="1:6" x14ac:dyDescent="0.25">
      <c r="A656">
        <v>655</v>
      </c>
      <c r="B656" t="s">
        <v>295</v>
      </c>
      <c r="C656" t="s">
        <v>9</v>
      </c>
      <c r="D656">
        <v>497</v>
      </c>
      <c r="E656" s="13">
        <v>79.900000000000006</v>
      </c>
      <c r="F656" s="13">
        <v>39710.300000000003</v>
      </c>
    </row>
    <row r="657" spans="1:6" x14ac:dyDescent="0.25">
      <c r="A657">
        <v>656</v>
      </c>
      <c r="B657" t="s">
        <v>296</v>
      </c>
      <c r="C657" t="s">
        <v>10</v>
      </c>
      <c r="D657">
        <v>1527</v>
      </c>
      <c r="E657" s="13">
        <v>9.5</v>
      </c>
      <c r="F657" s="13">
        <v>14506.5</v>
      </c>
    </row>
    <row r="658" spans="1:6" x14ac:dyDescent="0.25">
      <c r="A658">
        <v>657</v>
      </c>
      <c r="B658" t="s">
        <v>296</v>
      </c>
      <c r="C658" t="s">
        <v>7</v>
      </c>
      <c r="D658">
        <v>6078</v>
      </c>
      <c r="E658" s="13">
        <v>2.6</v>
      </c>
      <c r="F658" s="13">
        <v>15802.8</v>
      </c>
    </row>
    <row r="659" spans="1:6" x14ac:dyDescent="0.25">
      <c r="A659">
        <v>658</v>
      </c>
      <c r="B659" t="s">
        <v>296</v>
      </c>
      <c r="C659" t="s">
        <v>13</v>
      </c>
      <c r="D659">
        <v>2511</v>
      </c>
      <c r="E659" s="13">
        <v>6.2</v>
      </c>
      <c r="F659" s="13">
        <v>15568.2</v>
      </c>
    </row>
    <row r="660" spans="1:6" x14ac:dyDescent="0.25">
      <c r="A660">
        <v>659</v>
      </c>
      <c r="B660" t="s">
        <v>297</v>
      </c>
      <c r="C660" t="s">
        <v>7</v>
      </c>
      <c r="D660">
        <v>8455</v>
      </c>
      <c r="E660" s="13">
        <v>2.6</v>
      </c>
      <c r="F660" s="13">
        <v>21983</v>
      </c>
    </row>
    <row r="661" spans="1:6" x14ac:dyDescent="0.25">
      <c r="A661">
        <v>660</v>
      </c>
      <c r="B661" t="s">
        <v>297</v>
      </c>
      <c r="C661" t="s">
        <v>8</v>
      </c>
      <c r="D661">
        <v>2032</v>
      </c>
      <c r="E661" s="13">
        <v>2.4</v>
      </c>
      <c r="F661" s="13">
        <v>4876.8</v>
      </c>
    </row>
    <row r="662" spans="1:6" x14ac:dyDescent="0.25">
      <c r="A662">
        <v>661</v>
      </c>
      <c r="B662" t="s">
        <v>297</v>
      </c>
      <c r="C662" t="s">
        <v>13</v>
      </c>
      <c r="D662">
        <v>3117</v>
      </c>
      <c r="E662" s="13">
        <v>6.2</v>
      </c>
      <c r="F662" s="13">
        <v>19325.400000000001</v>
      </c>
    </row>
    <row r="663" spans="1:6" x14ac:dyDescent="0.25">
      <c r="A663">
        <v>662</v>
      </c>
      <c r="B663" t="s">
        <v>297</v>
      </c>
      <c r="C663" t="s">
        <v>10</v>
      </c>
      <c r="D663">
        <v>34</v>
      </c>
      <c r="E663" s="13">
        <v>9.5</v>
      </c>
      <c r="F663" s="13">
        <v>323</v>
      </c>
    </row>
    <row r="664" spans="1:6" x14ac:dyDescent="0.25">
      <c r="A664">
        <v>663</v>
      </c>
      <c r="B664" t="s">
        <v>298</v>
      </c>
      <c r="C664" t="s">
        <v>7</v>
      </c>
      <c r="D664">
        <v>8722</v>
      </c>
      <c r="E664" s="13">
        <v>2.6</v>
      </c>
      <c r="F664" s="13">
        <v>22677.200000000001</v>
      </c>
    </row>
    <row r="665" spans="1:6" x14ac:dyDescent="0.25">
      <c r="A665">
        <v>664</v>
      </c>
      <c r="B665" t="s">
        <v>299</v>
      </c>
      <c r="C665" t="s">
        <v>9</v>
      </c>
      <c r="D665">
        <v>3</v>
      </c>
      <c r="E665" s="13">
        <v>79.900000000000006</v>
      </c>
      <c r="F665" s="13">
        <v>239.7</v>
      </c>
    </row>
    <row r="666" spans="1:6" x14ac:dyDescent="0.25">
      <c r="A666">
        <v>665</v>
      </c>
      <c r="B666" t="s">
        <v>299</v>
      </c>
      <c r="C666" t="s">
        <v>10</v>
      </c>
      <c r="D666">
        <v>1561</v>
      </c>
      <c r="E666" s="13">
        <v>9.5</v>
      </c>
      <c r="F666" s="13">
        <v>14829.5</v>
      </c>
    </row>
    <row r="667" spans="1:6" x14ac:dyDescent="0.25">
      <c r="A667">
        <v>666</v>
      </c>
      <c r="B667" t="s">
        <v>300</v>
      </c>
      <c r="C667" t="s">
        <v>7</v>
      </c>
      <c r="D667">
        <v>1068</v>
      </c>
      <c r="E667" s="13">
        <v>2.6</v>
      </c>
      <c r="F667" s="13">
        <v>2776.8</v>
      </c>
    </row>
    <row r="668" spans="1:6" x14ac:dyDescent="0.25">
      <c r="A668">
        <v>667</v>
      </c>
      <c r="B668" t="s">
        <v>300</v>
      </c>
      <c r="C668" t="s">
        <v>9</v>
      </c>
      <c r="D668">
        <v>502</v>
      </c>
      <c r="E668" s="13">
        <v>79.900000000000006</v>
      </c>
      <c r="F668" s="13">
        <v>40109.800000000003</v>
      </c>
    </row>
    <row r="669" spans="1:6" x14ac:dyDescent="0.25">
      <c r="A669">
        <v>668</v>
      </c>
      <c r="B669" t="s">
        <v>301</v>
      </c>
      <c r="C669" t="s">
        <v>13</v>
      </c>
      <c r="D669">
        <v>4455</v>
      </c>
      <c r="E669" s="13">
        <v>6.2</v>
      </c>
      <c r="F669" s="13">
        <v>27621</v>
      </c>
    </row>
    <row r="670" spans="1:6" x14ac:dyDescent="0.25">
      <c r="A670">
        <v>669</v>
      </c>
      <c r="B670" t="s">
        <v>302</v>
      </c>
      <c r="C670" t="s">
        <v>7</v>
      </c>
      <c r="D670">
        <v>9430</v>
      </c>
      <c r="E670" s="13">
        <v>2.6</v>
      </c>
      <c r="F670" s="13">
        <v>24518</v>
      </c>
    </row>
    <row r="671" spans="1:6" x14ac:dyDescent="0.25">
      <c r="A671">
        <v>670</v>
      </c>
      <c r="B671" t="s">
        <v>302</v>
      </c>
      <c r="C671" t="s">
        <v>9</v>
      </c>
      <c r="D671">
        <v>52</v>
      </c>
      <c r="E671" s="13">
        <v>79.900000000000006</v>
      </c>
      <c r="F671" s="13">
        <v>4154.8</v>
      </c>
    </row>
    <row r="672" spans="1:6" x14ac:dyDescent="0.25">
      <c r="A672">
        <v>671</v>
      </c>
      <c r="B672" t="s">
        <v>302</v>
      </c>
      <c r="C672" t="s">
        <v>13</v>
      </c>
      <c r="D672">
        <v>3300</v>
      </c>
      <c r="E672" s="13">
        <v>6.2</v>
      </c>
      <c r="F672" s="13">
        <v>20460</v>
      </c>
    </row>
    <row r="673" spans="1:6" x14ac:dyDescent="0.25">
      <c r="A673">
        <v>672</v>
      </c>
      <c r="B673" t="s">
        <v>303</v>
      </c>
      <c r="C673" t="s">
        <v>9</v>
      </c>
      <c r="D673">
        <v>137</v>
      </c>
      <c r="E673" s="13">
        <v>79.900000000000006</v>
      </c>
      <c r="F673" s="13">
        <v>10946.3</v>
      </c>
    </row>
    <row r="674" spans="1:6" x14ac:dyDescent="0.25">
      <c r="A674">
        <v>673</v>
      </c>
      <c r="B674" t="s">
        <v>304</v>
      </c>
      <c r="C674" t="s">
        <v>13</v>
      </c>
      <c r="D674">
        <v>225</v>
      </c>
      <c r="E674" s="13">
        <v>6.2</v>
      </c>
      <c r="F674" s="13">
        <v>1395</v>
      </c>
    </row>
    <row r="675" spans="1:6" x14ac:dyDescent="0.25">
      <c r="A675">
        <v>674</v>
      </c>
      <c r="B675" t="s">
        <v>304</v>
      </c>
      <c r="C675" t="s">
        <v>8</v>
      </c>
      <c r="D675">
        <v>1894</v>
      </c>
      <c r="E675" s="13">
        <v>2.4</v>
      </c>
      <c r="F675" s="13">
        <v>4545.6000000000004</v>
      </c>
    </row>
    <row r="676" spans="1:6" x14ac:dyDescent="0.25">
      <c r="A676">
        <v>675</v>
      </c>
      <c r="B676" t="s">
        <v>304</v>
      </c>
      <c r="C676" t="s">
        <v>9</v>
      </c>
      <c r="D676">
        <v>334</v>
      </c>
      <c r="E676" s="13">
        <v>79.900000000000006</v>
      </c>
      <c r="F676" s="13">
        <v>26686.6</v>
      </c>
    </row>
    <row r="677" spans="1:6" x14ac:dyDescent="0.25">
      <c r="A677">
        <v>676</v>
      </c>
      <c r="B677" t="s">
        <v>305</v>
      </c>
      <c r="C677" t="s">
        <v>7</v>
      </c>
      <c r="D677">
        <v>9779</v>
      </c>
      <c r="E677" s="13">
        <v>2.6</v>
      </c>
      <c r="F677" s="13">
        <v>25425.4</v>
      </c>
    </row>
    <row r="678" spans="1:6" x14ac:dyDescent="0.25">
      <c r="A678">
        <v>677</v>
      </c>
      <c r="B678" t="s">
        <v>305</v>
      </c>
      <c r="C678" t="s">
        <v>9</v>
      </c>
      <c r="D678">
        <v>362</v>
      </c>
      <c r="E678" s="13">
        <v>79.900000000000006</v>
      </c>
      <c r="F678" s="13">
        <v>28923.8</v>
      </c>
    </row>
    <row r="679" spans="1:6" x14ac:dyDescent="0.25">
      <c r="A679">
        <v>678</v>
      </c>
      <c r="B679" t="s">
        <v>305</v>
      </c>
      <c r="C679" t="s">
        <v>13</v>
      </c>
      <c r="D679">
        <v>576</v>
      </c>
      <c r="E679" s="13">
        <v>6.2</v>
      </c>
      <c r="F679" s="13">
        <v>3571.2</v>
      </c>
    </row>
    <row r="680" spans="1:6" x14ac:dyDescent="0.25">
      <c r="A680">
        <v>679</v>
      </c>
      <c r="B680" t="s">
        <v>306</v>
      </c>
      <c r="C680" t="s">
        <v>8</v>
      </c>
      <c r="D680">
        <v>4315</v>
      </c>
      <c r="E680" s="13">
        <v>2.4</v>
      </c>
      <c r="F680" s="13">
        <v>10356</v>
      </c>
    </row>
    <row r="681" spans="1:6" x14ac:dyDescent="0.25">
      <c r="A681">
        <v>680</v>
      </c>
      <c r="B681" t="s">
        <v>306</v>
      </c>
      <c r="C681" t="s">
        <v>7</v>
      </c>
      <c r="D681">
        <v>5824</v>
      </c>
      <c r="E681" s="13">
        <v>2.6</v>
      </c>
      <c r="F681" s="13">
        <v>15142.4</v>
      </c>
    </row>
    <row r="682" spans="1:6" x14ac:dyDescent="0.25">
      <c r="A682">
        <v>681</v>
      </c>
      <c r="B682" t="s">
        <v>306</v>
      </c>
      <c r="C682" t="s">
        <v>13</v>
      </c>
      <c r="D682">
        <v>793</v>
      </c>
      <c r="E682" s="13">
        <v>6.2</v>
      </c>
      <c r="F682" s="13">
        <v>4916.6000000000004</v>
      </c>
    </row>
    <row r="683" spans="1:6" x14ac:dyDescent="0.25">
      <c r="A683">
        <v>682</v>
      </c>
      <c r="B683" t="s">
        <v>306</v>
      </c>
      <c r="C683" t="s">
        <v>10</v>
      </c>
      <c r="D683">
        <v>15</v>
      </c>
      <c r="E683" s="13">
        <v>9.5</v>
      </c>
      <c r="F683" s="13">
        <v>142.5</v>
      </c>
    </row>
    <row r="684" spans="1:6" x14ac:dyDescent="0.25">
      <c r="A684">
        <v>683</v>
      </c>
      <c r="B684" t="s">
        <v>306</v>
      </c>
      <c r="C684" t="s">
        <v>9</v>
      </c>
      <c r="D684">
        <v>3</v>
      </c>
      <c r="E684" s="13">
        <v>79.900000000000006</v>
      </c>
      <c r="F684" s="13">
        <v>239.7</v>
      </c>
    </row>
    <row r="685" spans="1:6" x14ac:dyDescent="0.25">
      <c r="A685">
        <v>684</v>
      </c>
      <c r="B685" t="s">
        <v>307</v>
      </c>
      <c r="C685" t="s">
        <v>8</v>
      </c>
      <c r="D685">
        <v>913</v>
      </c>
      <c r="E685" s="13">
        <v>2.4</v>
      </c>
      <c r="F685" s="13">
        <v>2191.1999999999998</v>
      </c>
    </row>
    <row r="686" spans="1:6" x14ac:dyDescent="0.25">
      <c r="A686">
        <v>685</v>
      </c>
      <c r="B686" t="s">
        <v>308</v>
      </c>
      <c r="C686" t="s">
        <v>9</v>
      </c>
      <c r="D686">
        <v>7</v>
      </c>
      <c r="E686" s="13">
        <v>79.900000000000006</v>
      </c>
      <c r="F686" s="13">
        <v>559.29999999999995</v>
      </c>
    </row>
    <row r="687" spans="1:6" x14ac:dyDescent="0.25">
      <c r="A687">
        <v>686</v>
      </c>
      <c r="B687" t="s">
        <v>309</v>
      </c>
      <c r="C687" t="s">
        <v>7</v>
      </c>
      <c r="D687">
        <v>8306</v>
      </c>
      <c r="E687" s="13">
        <v>2.6</v>
      </c>
      <c r="F687" s="13">
        <v>21595.599999999999</v>
      </c>
    </row>
    <row r="688" spans="1:6" x14ac:dyDescent="0.25">
      <c r="A688">
        <v>687</v>
      </c>
      <c r="B688" t="s">
        <v>309</v>
      </c>
      <c r="C688" t="s">
        <v>9</v>
      </c>
      <c r="D688">
        <v>36</v>
      </c>
      <c r="E688" s="13">
        <v>79.900000000000006</v>
      </c>
      <c r="F688" s="13">
        <v>2876.4</v>
      </c>
    </row>
    <row r="689" spans="1:6" x14ac:dyDescent="0.25">
      <c r="A689">
        <v>688</v>
      </c>
      <c r="B689" t="s">
        <v>310</v>
      </c>
      <c r="C689" t="s">
        <v>7</v>
      </c>
      <c r="D689">
        <v>7137</v>
      </c>
      <c r="E689" s="13">
        <v>2.6</v>
      </c>
      <c r="F689" s="13">
        <v>18556.2</v>
      </c>
    </row>
    <row r="690" spans="1:6" x14ac:dyDescent="0.25">
      <c r="A690">
        <v>689</v>
      </c>
      <c r="B690" t="s">
        <v>310</v>
      </c>
      <c r="C690" t="s">
        <v>9</v>
      </c>
      <c r="D690">
        <v>390</v>
      </c>
      <c r="E690" s="13">
        <v>79.900000000000006</v>
      </c>
      <c r="F690" s="13">
        <v>31161</v>
      </c>
    </row>
    <row r="691" spans="1:6" x14ac:dyDescent="0.25">
      <c r="E691" s="13"/>
      <c r="F691" s="13"/>
    </row>
    <row r="692" spans="1:6" x14ac:dyDescent="0.25">
      <c r="E692" s="13"/>
      <c r="F692" s="13"/>
    </row>
    <row r="693" spans="1:6" x14ac:dyDescent="0.25">
      <c r="E693" s="13"/>
      <c r="F693" s="13"/>
    </row>
    <row r="694" spans="1:6" x14ac:dyDescent="0.25">
      <c r="E694" s="13"/>
      <c r="F694" s="13"/>
    </row>
    <row r="695" spans="1:6" x14ac:dyDescent="0.25">
      <c r="E695" s="13"/>
      <c r="F695" s="13"/>
    </row>
    <row r="696" spans="1:6" x14ac:dyDescent="0.25">
      <c r="E696" s="13"/>
      <c r="F696" s="13"/>
    </row>
    <row r="697" spans="1:6" x14ac:dyDescent="0.25">
      <c r="E697" s="13"/>
      <c r="F697" s="13"/>
    </row>
    <row r="698" spans="1:6" x14ac:dyDescent="0.25">
      <c r="E698" s="13"/>
      <c r="F698" s="13"/>
    </row>
    <row r="699" spans="1:6" x14ac:dyDescent="0.25">
      <c r="E699" s="13"/>
      <c r="F699" s="13"/>
    </row>
    <row r="700" spans="1:6" x14ac:dyDescent="0.25">
      <c r="E700" s="13"/>
      <c r="F700" s="13"/>
    </row>
    <row r="701" spans="1:6" x14ac:dyDescent="0.25">
      <c r="E701" s="13"/>
      <c r="F701" s="13"/>
    </row>
    <row r="702" spans="1:6" x14ac:dyDescent="0.25">
      <c r="E702" s="13"/>
      <c r="F702" s="13"/>
    </row>
    <row r="703" spans="1:6" x14ac:dyDescent="0.25">
      <c r="E703" s="13"/>
      <c r="F703" s="13"/>
    </row>
    <row r="704" spans="1:6" x14ac:dyDescent="0.25">
      <c r="E704" s="13"/>
      <c r="F704" s="13"/>
    </row>
    <row r="705" spans="5:6" x14ac:dyDescent="0.25">
      <c r="E705" s="13"/>
      <c r="F705" s="13"/>
    </row>
    <row r="706" spans="5:6" x14ac:dyDescent="0.25">
      <c r="E706" s="13"/>
      <c r="F706" s="13"/>
    </row>
    <row r="707" spans="5:6" x14ac:dyDescent="0.25">
      <c r="E707" s="13"/>
      <c r="F707" s="13"/>
    </row>
    <row r="708" spans="5:6" x14ac:dyDescent="0.25">
      <c r="E708" s="13"/>
      <c r="F708" s="13"/>
    </row>
    <row r="709" spans="5:6" x14ac:dyDescent="0.25">
      <c r="E709" s="13"/>
      <c r="F709" s="13"/>
    </row>
    <row r="710" spans="5:6" x14ac:dyDescent="0.25">
      <c r="E710" s="13"/>
      <c r="F710" s="13"/>
    </row>
    <row r="711" spans="5:6" x14ac:dyDescent="0.25">
      <c r="E711" s="13"/>
      <c r="F711" s="13"/>
    </row>
    <row r="712" spans="5:6" x14ac:dyDescent="0.25">
      <c r="E712" s="13"/>
      <c r="F712" s="13"/>
    </row>
    <row r="713" spans="5:6" x14ac:dyDescent="0.25">
      <c r="E713" s="13"/>
      <c r="F713" s="13"/>
    </row>
    <row r="714" spans="5:6" x14ac:dyDescent="0.25">
      <c r="E714" s="13"/>
      <c r="F714" s="13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selection sqref="A1:F1"/>
    </sheetView>
  </sheetViews>
  <sheetFormatPr defaultColWidth="16.28515625" defaultRowHeight="15" x14ac:dyDescent="0.25"/>
  <sheetData>
    <row r="1" spans="1:6" ht="20.100000000000001" customHeight="1" x14ac:dyDescent="0.25">
      <c r="A1" s="4" t="s">
        <v>881</v>
      </c>
      <c r="B1" s="4" t="s">
        <v>324</v>
      </c>
      <c r="C1" s="4" t="s">
        <v>1</v>
      </c>
      <c r="D1" s="4" t="s">
        <v>882</v>
      </c>
      <c r="E1" s="4" t="s">
        <v>883</v>
      </c>
      <c r="F1" s="4" t="s">
        <v>554</v>
      </c>
    </row>
    <row r="2" spans="1:6" x14ac:dyDescent="0.25">
      <c r="A2" t="s">
        <v>884</v>
      </c>
      <c r="B2" t="s">
        <v>359</v>
      </c>
      <c r="C2" t="s">
        <v>57</v>
      </c>
      <c r="D2" t="s">
        <v>884</v>
      </c>
      <c r="E2" t="s">
        <v>885</v>
      </c>
      <c r="F2" t="s">
        <v>886</v>
      </c>
    </row>
    <row r="3" spans="1:6" x14ac:dyDescent="0.25">
      <c r="A3" t="s">
        <v>887</v>
      </c>
      <c r="B3" t="s">
        <v>359</v>
      </c>
      <c r="C3" t="s">
        <v>57</v>
      </c>
      <c r="D3" t="s">
        <v>887</v>
      </c>
      <c r="E3" t="s">
        <v>888</v>
      </c>
      <c r="F3" t="s">
        <v>886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4" topLeftCell="A5" activePane="bottomLeft" state="frozen"/>
      <selection pane="bottomLeft" activeCell="E8" sqref="E8"/>
    </sheetView>
  </sheetViews>
  <sheetFormatPr defaultRowHeight="15" x14ac:dyDescent="0.25"/>
  <cols>
    <col min="1" max="1" width="54.140625" bestFit="1" customWidth="1"/>
    <col min="2" max="2" width="9.140625" bestFit="1" customWidth="1"/>
    <col min="3" max="3" width="6.42578125" bestFit="1" customWidth="1"/>
    <col min="4" max="4" width="15.28515625" bestFit="1" customWidth="1"/>
    <col min="5" max="5" width="2" customWidth="1"/>
    <col min="6" max="6" width="18" customWidth="1"/>
    <col min="7" max="8" width="2" customWidth="1"/>
  </cols>
  <sheetData>
    <row r="1" spans="1:5" ht="21" customHeight="1" x14ac:dyDescent="0.35">
      <c r="A1" s="1" t="s">
        <v>889</v>
      </c>
    </row>
    <row r="2" spans="1:5" x14ac:dyDescent="0.25">
      <c r="A2" s="2" t="s">
        <v>890</v>
      </c>
      <c r="B2" t="s">
        <v>329</v>
      </c>
    </row>
    <row r="4" spans="1:5" x14ac:dyDescent="0.25">
      <c r="A4" s="2" t="s">
        <v>891</v>
      </c>
      <c r="D4" s="2" t="s">
        <v>892</v>
      </c>
    </row>
    <row r="5" spans="1:5" x14ac:dyDescent="0.25">
      <c r="A5" s="8" t="s">
        <v>893</v>
      </c>
      <c r="B5" s="5">
        <f ca="1">IF($B$2="","",COUNTIFS(Orders!$B:$B,"&gt;="&amp;TODAY()-30,Orders!$C:$C,$B$2))</f>
        <v>2</v>
      </c>
      <c r="D5" s="8" t="s">
        <v>562</v>
      </c>
      <c r="E5" s="5">
        <f>IF($B$2="","",COUNTIFS(Orders!$C:$C,$B$2,Orders!$D:$D,"Processing"))</f>
        <v>2</v>
      </c>
    </row>
    <row r="6" spans="1:5" x14ac:dyDescent="0.25">
      <c r="A6" s="8" t="s">
        <v>894</v>
      </c>
      <c r="B6" s="5">
        <f>IF($B$2="","",COUNTIFS(Orders!$C:$C,$B$2,Orders!$D:$D,"Pending")+COUNTIFS(Orders!$C:$C,$B$2,Orders!$D:$D,"Processing"))</f>
        <v>2</v>
      </c>
      <c r="D6" s="8" t="s">
        <v>568</v>
      </c>
      <c r="E6" s="5">
        <f>IF($B$2="","",COUNTIFS(Orders!$C:$C,$B$2,Orders!$D:$D,"Pending"))</f>
        <v>0</v>
      </c>
    </row>
    <row r="7" spans="1:5" x14ac:dyDescent="0.25">
      <c r="A7" s="8" t="s">
        <v>895</v>
      </c>
      <c r="B7" s="7">
        <f ca="1">IF($B$2="","",SUMIFS(Orders!$H:$H,Orders!$C:$C,$B$2,Orders!$B:$B,"&gt;="&amp;TODAY()-90,Orders!$D:$D,"&lt;&gt;Cancelled"))</f>
        <v>0</v>
      </c>
      <c r="D7" s="8" t="s">
        <v>558</v>
      </c>
      <c r="E7" s="5">
        <f>IF($B$2="","",COUNTIFS(Orders!$C:$C,$B$2,Orders!$D:$D,"Shipped"))</f>
        <v>1</v>
      </c>
    </row>
    <row r="8" spans="1:5" x14ac:dyDescent="0.25">
      <c r="A8" s="8" t="s">
        <v>896</v>
      </c>
      <c r="B8" s="6" t="str">
        <f ca="1">IFERROR(_xludf.MINIFS(Orders!$F:$F,Orders!$C:$C,$B$2,Orders!$F:$F,"&gt;="&amp;TODAY(),Orders!$D:$D,"&lt;&gt;Delivered",Orders!$D:$D,"&lt;&gt;Cancelled"),"")</f>
        <v/>
      </c>
      <c r="D8" s="8" t="s">
        <v>570</v>
      </c>
      <c r="E8" s="5">
        <f>IF($B$2="","",COUNTIFS(Orders!$C:$C,$B$2,Orders!$D:$D,"Delivered"))</f>
        <v>0</v>
      </c>
    </row>
    <row r="11" spans="1:5" x14ac:dyDescent="0.25">
      <c r="A11" s="2" t="s">
        <v>897</v>
      </c>
    </row>
    <row r="12" spans="1:5" x14ac:dyDescent="0.25">
      <c r="A12" s="9" t="s">
        <v>1</v>
      </c>
      <c r="B12" s="9" t="s">
        <v>898</v>
      </c>
      <c r="C12" s="9" t="s">
        <v>554</v>
      </c>
      <c r="D12" s="9" t="s">
        <v>557</v>
      </c>
    </row>
    <row r="13" spans="1:5" x14ac:dyDescent="0.25">
      <c r="D13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README</vt:lpstr>
      <vt:lpstr>Customers</vt:lpstr>
      <vt:lpstr>Products</vt:lpstr>
      <vt:lpstr>Orders</vt:lpstr>
      <vt:lpstr>OrderLines</vt:lpstr>
      <vt:lpstr>Support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Costa</cp:lastModifiedBy>
  <dcterms:created xsi:type="dcterms:W3CDTF">2026-01-27T19:38:17Z</dcterms:created>
  <dcterms:modified xsi:type="dcterms:W3CDTF">2026-02-03T05:32:28Z</dcterms:modified>
</cp:coreProperties>
</file>